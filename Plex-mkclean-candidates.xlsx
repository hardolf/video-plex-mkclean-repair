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Video\video-plex-mkclean-repair\"/>
    </mc:Choice>
  </mc:AlternateContent>
  <xr:revisionPtr revIDLastSave="0" documentId="13_ncr:1_{F09544BC-14C4-47B2-8745-BF88F9C1C235}" xr6:coauthVersionLast="47" xr6:coauthVersionMax="47" xr10:uidLastSave="{00000000-0000-0000-0000-000000000000}"/>
  <bookViews>
    <workbookView xWindow="-180" yWindow="390" windowWidth="38580" windowHeight="20385" xr2:uid="{95E267F5-BD14-4633-B4E9-3A3054927D83}"/>
  </bookViews>
  <sheets>
    <sheet name="Plex-mkclean-candidates" sheetId="2" r:id="rId1"/>
    <sheet name="Config" sheetId="3" r:id="rId2"/>
  </sheets>
  <definedNames>
    <definedName name="ExternalData_1" localSheetId="0" hidden="1">'Plex-mkclean-candidates'!$A$1:$Y$2</definedName>
    <definedName name="ScanStatus">Plex_mkclean_candidates[Scan
Status]</definedName>
    <definedName name="SizeBytes">Plex_mkclean_candidates[Size
Bytes]</definedName>
    <definedName name="SizeGB">#REF!</definedName>
    <definedName name="SizeGiB">Plex_mkclean_candidates[Size
GiB]</definedName>
    <definedName name="WorkbookFolder">Config!$B$1</definedName>
    <definedName name="WorkbookName">Config!$B$2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4" i="2" l="1"/>
  <c r="S4" i="2"/>
  <c r="B4" i="2"/>
  <c r="C4" i="2"/>
  <c r="D4" i="2"/>
  <c r="E4" i="2"/>
  <c r="F4" i="2"/>
  <c r="G4" i="2"/>
  <c r="H4" i="2"/>
  <c r="I4" i="2"/>
  <c r="V4" i="2"/>
  <c r="P4" i="2"/>
  <c r="B2" i="3"/>
  <c r="B1" i="3"/>
  <c r="A4" i="2" a="1"/>
  <c r="A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6665E-4FDE-4631-97B3-34084C976176}" keepAlive="1" name="Query - Plex-mkclean-candidates" description="Connection to the 'Plex-mkclean-candidates' query in the workbook." type="5" refreshedVersion="8" saveData="1">
    <dbPr connection="Provider=Microsoft.Mashup.OleDb.1;Data Source=$Workbook$;Location=Plex-mkclean-candidates;Extended Properties=&quot;&quot;" command="SELECT * FROM [Plex-mkclean-candidat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<sst xmlns="http://schemas.openxmlformats.org/spreadsheetml/2006/main" count="29" uniqueCount="29">
  <si>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Candidate</t>
  </si>
  <si>
    <t>Scan
Status</t>
  </si>
  <si>
    <t>Strict
Candidate</t>
  </si>
  <si>
    <t>Is
Mkclean</t>
  </si>
  <si>
    <t>Has
HEVC</t>
  </si>
  <si>
    <t>Codec Private
Scope 2</t>
  </si>
  <si>
    <t>Content
Compression</t>
  </si>
  <si>
    <t>Unknown HEVC
Profile</t>
  </si>
  <si>
    <t>Last Write
Time</t>
  </si>
  <si>
    <t>GB</t>
  </si>
  <si>
    <t>HEVC Track
Compressed</t>
  </si>
  <si>
    <t>HEVC
Profile</t>
  </si>
  <si>
    <t>HEVC
Track ID</t>
  </si>
  <si>
    <t>Compression
Algorithms</t>
  </si>
  <si>
    <t>Writing
Application</t>
  </si>
  <si>
    <t>Size
GiB</t>
  </si>
  <si>
    <t>Size
Bytes</t>
  </si>
  <si>
    <t>Root</t>
  </si>
  <si>
    <t>Workbook folder</t>
  </si>
  <si>
    <t>MkvMerge
Exit Code</t>
  </si>
  <si>
    <t>MkvInfo
Exit Code</t>
  </si>
  <si>
    <t>File Path Under Root</t>
  </si>
  <si>
    <t>Workbook name</t>
  </si>
  <si>
    <t>Both cells above are read by the Power Query source, so the CSV with the same name as this workbook is found beside it. Do not delete.</t>
  </si>
  <si>
    <t>Remux
Status</t>
  </si>
  <si>
    <t>Remux
Time</t>
  </si>
  <si>
    <t>Remux HEVC
Profile</t>
  </si>
  <si>
    <t>Remux Size
Bytes</t>
  </si>
  <si>
    <t>Backup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</si>
</sst>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3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1" fillId="0" borderId="0" xfId="0" applyFont="1"/>
    <xf numFmtId="16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" fontId="0" fillId="0" borderId="0" xfId="0" applyNumberForma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51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164" formatCode="#,##0.00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164" formatCode="#,##0.00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B14F1F12-2532-4944-BBDB-74F606B78D77}" autoFormatId="16" applyNumberFormats="0" applyBorderFormats="0" applyFontFormats="0" applyPatternFormats="0" applyAlignmentFormats="0" applyWidthHeightFormats="0">
  <queryTableRefresh nextId="73">
    <queryTableFields count="25">
      <queryTableField id="13" name="Scan_x000a_Status" tableColumnId="1"/>
      <queryTableField id="2" name="Candidate" tableColumnId="2"/>
      <queryTableField id="14" name="Strict_x000a_Candidate" tableColumnId="3"/>
      <queryTableField id="15" name="Is_x000a_Mkclean" tableColumnId="4"/>
      <queryTableField id="16" name="Has_x000a_HEVC" tableColumnId="5"/>
      <queryTableField id="27" name="HEVC Track_x000a_Compressed" tableColumnId="10"/>
      <queryTableField id="17" name="Codec Private_x000a_Scope 2" tableColumnId="6"/>
      <queryTableField id="19" name="Unknown HEVC_x000a_Profile" tableColumnId="8"/>
      <queryTableField id="18" name="Content_x000a_Compression" tableColumnId="7"/>
      <queryTableField id="28" name="HEVC_x000a_Profile" tableColumnId="12"/>
      <queryTableField id="29" name="HEVC_x000a_Track ID" tableColumnId="13"/>
      <queryTableField id="30" name="Compression_x000a_Algorithms" tableColumnId="14"/>
      <queryTableField id="31" name="Writing_x000a_Application" tableColumnId="15"/>
      <queryTableField id="56" name="MkvMerge_x000a_Exit Code" tableColumnId="9"/>
      <queryTableField id="57" name="MkvInfo_x000a_Exit Code" tableColumnId="16"/>
      <queryTableField id="33" name="Size_x000a_GiB" tableColumnId="17"/>
      <queryTableField id="34" name="Size_x000a_Bytes" tableColumnId="18"/>
      <queryTableField id="22" name="Last Write_x000a_Time" tableColumnId="11"/>
      <queryTableField id="61" name="Remux_x000a_Status" tableColumnId="21"/>
      <queryTableField id="62" name="Remux_x000a_Time" tableColumnId="22"/>
      <queryTableField id="63" name="Remux HEVC_x000a_Profile" tableColumnId="23"/>
      <queryTableField id="64" name="Remux Size_x000a_Bytes" tableColumnId="24"/>
      <queryTableField id="71" name="Backup Path" tableColumnId="26"/>
      <queryTableField id="35" name="Root" tableColumnId="19"/>
      <queryTableField id="58" name="File Path Under Roo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3889C-277D-4AA0-84C8-7BCDDB20A7F9}" name="Plex_mkclean_candidates" displayName="Plex_mkclean_candidates" ref="A1:Y2" tableType="queryTable" insertRow="1" headerRowDxfId="27" dataDxfId="25" totalsRowDxfId="26">
  <autoFilter ref="A1:Y2" xr:uid="{5663889C-277D-4AA0-84C8-7BCDDB20A7F9}"/>
  <tableColumns count="25">
    <tableColumn id="1" xr3:uid="{E473DB4E-D0B0-4686-9D3D-9252E8274394}" uniqueName="1" name="Scan_x000a_Status" totalsRowFunction="count" queryTableFieldId="13" dataDxfId="24" totalsRowDxfId="50"/>
    <tableColumn id="2" xr3:uid="{65D059E4-AC32-4114-8831-D48DB2D49428}" uniqueName="2" name="Candidate" totalsRowFunction="custom" queryTableFieldId="2" dataDxfId="23" totalsRowDxfId="49">
      <totalsRowFormula>COUNTIFS(Plex_mkclean_candidates[Candidate],TRUE)</totalsRowFormula>
    </tableColumn>
    <tableColumn id="3" xr3:uid="{A38B3475-F992-4741-9C62-846BD456E1CD}" uniqueName="3" name="Strict_x000a_Candidate" totalsRowFunction="custom" queryTableFieldId="14" dataDxfId="22" totalsRowDxfId="48">
      <totalsRowFormula>COUNTIFS(Plex_mkclean_candidates[Strict
Candidate],TRUE)</totalsRowFormula>
    </tableColumn>
    <tableColumn id="4" xr3:uid="{F81C6059-11B1-4B1A-9C38-7613BA921AEE}" uniqueName="4" name="Is_x000a_Mkclean" totalsRowFunction="custom" queryTableFieldId="15" dataDxfId="21" totalsRowDxfId="47">
      <totalsRowFormula>COUNTIFS(Plex_mkclean_candidates[Is
Mkclean],TRUE)</totalsRowFormula>
    </tableColumn>
    <tableColumn id="5" xr3:uid="{A8326797-9B46-4A82-9ABA-B2ED92EC7CA9}" uniqueName="5" name="Has_x000a_HEVC" totalsRowFunction="custom" queryTableFieldId="16" dataDxfId="20" totalsRowDxfId="46">
      <totalsRowFormula>COUNTIFS(Plex_mkclean_candidates[Has
HEVC],TRUE)</totalsRowFormula>
    </tableColumn>
    <tableColumn id="10" xr3:uid="{545BC78F-EAD0-4FD7-8FEF-559FAED82825}" uniqueName="10" name="HEVC Track_x000a_Compressed" totalsRowFunction="custom" queryTableFieldId="27" dataDxfId="19" totalsRowDxfId="45">
      <totalsRowFormula>COUNTIFS(Plex_mkclean_candidates[HEVC Track
Compressed],TRUE)</totalsRowFormula>
    </tableColumn>
    <tableColumn id="6" xr3:uid="{19C1C7DC-D3B2-4FA7-BB1F-E53EBC35A317}" uniqueName="6" name="Codec Private_x000a_Scope 2" totalsRowFunction="custom" queryTableFieldId="17" dataDxfId="18" totalsRowDxfId="44">
      <totalsRowFormula>COUNTIFS(Plex_mkclean_candidates[Codec Private
Scope 2],TRUE)</totalsRowFormula>
    </tableColumn>
    <tableColumn id="8" xr3:uid="{F45A4A7F-5798-48A5-9491-52FFC57ABE65}" uniqueName="8" name="Unknown HEVC_x000a_Profile" totalsRowFunction="custom" queryTableFieldId="19" dataDxfId="17" totalsRowDxfId="43">
      <totalsRowFormula>COUNTIFS(Plex_mkclean_candidates[Unknown HEVC
Profile],TRUE)</totalsRowFormula>
    </tableColumn>
    <tableColumn id="7" xr3:uid="{4CBC5614-5E9B-4965-8E1D-0FC0D65A7227}" uniqueName="7" name="Content_x000a_Compression" totalsRowFunction="custom" queryTableFieldId="18" dataDxfId="16" totalsRowDxfId="42">
      <totalsRowFormula>COUNTIFS(Plex_mkclean_candidates[Content
Compression],TRUE)</totalsRowFormula>
    </tableColumn>
    <tableColumn id="12" xr3:uid="{59BF2435-A6DE-4D18-9D66-EFCA3F555D43}" uniqueName="12" name="HEVC_x000a_Profile" queryTableFieldId="28" dataDxfId="15" totalsRowDxfId="41"/>
    <tableColumn id="13" xr3:uid="{EC2A9398-77B2-407B-8407-7B38DA926CDF}" uniqueName="13" name="HEVC_x000a_Track ID" queryTableFieldId="29" dataDxfId="14" totalsRowDxfId="40"/>
    <tableColumn id="14" xr3:uid="{85CB5410-936E-4420-ACDD-4E4C3F0DF1AE}" uniqueName="14" name="Compression_x000a_Algorithms" queryTableFieldId="30" dataDxfId="13" totalsRowDxfId="39"/>
    <tableColumn id="15" xr3:uid="{09AFC747-9291-4731-9F9E-7F9D1888AF14}" uniqueName="15" name="Writing_x000a_Application" queryTableFieldId="31" dataDxfId="12" totalsRowDxfId="38"/>
    <tableColumn id="9" xr3:uid="{6A26BDF3-BC7F-4F24-B77D-D0015FDF5081}" uniqueName="9" name="MkvMerge_x000a_Exit Code" queryTableFieldId="56" dataDxfId="11" totalsRowDxfId="37"/>
    <tableColumn id="16" xr3:uid="{731DBAE5-80CD-4FDC-8657-1A1915CE8BA7}" uniqueName="16" name="MkvInfo_x000a_Exit Code" queryTableFieldId="57" dataDxfId="10" totalsRowDxfId="36"/>
    <tableColumn id="17" xr3:uid="{CA99DC2D-2855-46EB-B409-54D5EE001024}" uniqueName="17" name="Size_x000a_GiB" totalsRowFunction="sum" queryTableFieldId="33" dataDxfId="9" totalsRowDxfId="35"/>
    <tableColumn id="18" xr3:uid="{0F7FD906-06DF-4E7A-9FE0-228EA90101DE}" uniqueName="18" name="Size_x000a_Bytes" totalsRowFunction="sum" queryTableFieldId="34" dataDxfId="8" totalsRowDxfId="34"/>
    <tableColumn id="11" xr3:uid="{7D70637D-75E8-4473-83AB-95943333CCAB}" uniqueName="11" name="Last Write_x000a_Time" queryTableFieldId="22" dataDxfId="7" totalsRowDxfId="33"/>
    <tableColumn id="21" xr3:uid="{F99CB06F-88AF-43B2-9BC4-BBE18DCFB45D}" uniqueName="21" name="Remux_x000a_Status" totalsRowFunction="custom" queryTableFieldId="61" dataDxfId="6" totalsRowDxfId="32">
      <totalsRowFormula>COUNTIF(Plex_mkclean_candidates[Remux
Status],"Fixed*")</totalsRowFormula>
    </tableColumn>
    <tableColumn id="22" xr3:uid="{673DF524-5316-468B-8A50-A596E338B415}" uniqueName="22" name="Remux_x000a_Time" queryTableFieldId="62" dataDxfId="5"/>
    <tableColumn id="23" xr3:uid="{3966F871-3C6F-42C4-8FB5-9033789D3D1B}" uniqueName="23" name="Remux HEVC_x000a_Profile" queryTableFieldId="63" dataDxfId="4" totalsRowDxfId="31"/>
    <tableColumn id="24" xr3:uid="{F6BA5E19-FA33-4B3F-B33D-5F9D175600AB}" uniqueName="24" name="Remux Size_x000a_Bytes" totalsRowFunction="sum" queryTableFieldId="64" dataDxfId="3"/>
    <tableColumn id="26" xr3:uid="{B5498636-8B9F-4EC6-9705-5C2D4B319570}" uniqueName="26" name="Backup Path" queryTableFieldId="71" dataDxfId="2" totalsRowDxfId="30"/>
    <tableColumn id="19" xr3:uid="{F4DE6A81-EB87-42C9-A8E1-F914A33A9FC3}" uniqueName="19" name="Root" queryTableFieldId="35" dataDxfId="1" totalsRowDxfId="29"/>
    <tableColumn id="20" xr3:uid="{7768F94F-2A2A-4114-9C29-21FFB4D6A82B}" uniqueName="20" name="File Path Under Root" queryTableFieldId="58" dataDxfId="0" totalsRow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2AB2-B4BB-4680-9A2D-9DFDDFC61F43}">
  <dimension ref="A1:AT13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7109375" style="6" customWidth="1"/>
    <col min="2" max="3" width="12.5703125" style="3" bestFit="1" customWidth="1"/>
    <col min="4" max="4" width="10.7109375" style="3" bestFit="1" customWidth="1"/>
    <col min="5" max="5" width="8.42578125" style="3" bestFit="1" customWidth="1"/>
    <col min="6" max="6" width="14.85546875" style="3" bestFit="1" customWidth="1"/>
    <col min="7" max="7" width="16" style="3" bestFit="1" customWidth="1"/>
    <col min="8" max="8" width="17.28515625" style="3" bestFit="1" customWidth="1"/>
    <col min="9" max="9" width="15.5703125" style="3" bestFit="1" customWidth="1"/>
    <col min="10" max="10" width="20.7109375" style="9" customWidth="1"/>
    <col min="11" max="11" width="10.42578125" style="10" bestFit="1" customWidth="1"/>
    <col min="12" max="12" width="15.5703125" style="10" bestFit="1" customWidth="1"/>
    <col min="13" max="13" width="60.7109375" style="9" customWidth="1"/>
    <col min="14" max="14" width="12.42578125" style="10" bestFit="1" customWidth="1"/>
    <col min="15" max="15" width="12" style="10" bestFit="1" customWidth="1"/>
    <col min="16" max="16" width="10.7109375" style="12" customWidth="1"/>
    <col min="17" max="17" width="20.7109375" style="11" customWidth="1"/>
    <col min="18" max="18" width="17.7109375" style="11" customWidth="1"/>
    <col min="19" max="19" width="20.7109375" style="18" customWidth="1"/>
    <col min="20" max="20" width="15.7109375" style="18" customWidth="1"/>
    <col min="21" max="22" width="20.7109375" style="18" customWidth="1"/>
    <col min="23" max="23" width="100.7109375" style="18" customWidth="1"/>
    <col min="24" max="24" width="50.7109375" style="18" customWidth="1"/>
    <col min="25" max="26" width="100.7109375" style="18" customWidth="1"/>
    <col min="27" max="28" width="17.7109375" style="11" customWidth="1"/>
    <col min="29" max="29" width="255.7109375" style="11" bestFit="1" customWidth="1"/>
    <col min="30" max="30" width="15.5703125" style="3" bestFit="1" customWidth="1"/>
    <col min="31" max="32" width="15.5703125" style="3" customWidth="1"/>
    <col min="33" max="33" width="20.28515625" style="3" bestFit="1" customWidth="1"/>
    <col min="34" max="34" width="255.7109375" style="3" customWidth="1"/>
    <col min="35" max="35" width="80.7109375" style="3" customWidth="1"/>
    <col min="36" max="36" width="3.5703125" style="3" bestFit="1" customWidth="1"/>
    <col min="37" max="38" width="255.7109375" style="3" bestFit="1" customWidth="1"/>
    <col min="39" max="46" width="2" style="3" bestFit="1" customWidth="1"/>
    <col min="47" max="47" width="6.140625" style="1" bestFit="1" customWidth="1"/>
    <col min="48" max="48" width="16.5703125" style="1" bestFit="1" customWidth="1"/>
    <col min="49" max="49" width="255.7109375" style="1" bestFit="1" customWidth="1"/>
    <col min="50" max="16384" width="9.140625" style="1"/>
  </cols>
  <sheetData>
    <row r="1" spans="1:46" s="4" customFormat="1" ht="35.1" customHeight="1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10</v>
      </c>
      <c r="G1" s="4" t="s">
        <v>5</v>
      </c>
      <c r="H1" s="4" t="s">
        <v>7</v>
      </c>
      <c r="I1" s="4" t="s">
        <v>6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19</v>
      </c>
      <c r="O1" s="4" t="s">
        <v>20</v>
      </c>
      <c r="P1" s="14" t="s">
        <v>15</v>
      </c>
      <c r="Q1" s="15" t="s">
        <v>16</v>
      </c>
      <c r="R1" s="4" t="s">
        <v>8</v>
      </c>
      <c r="S1" s="4" t="s">
        <v>24</v>
      </c>
      <c r="T1" s="4" t="s">
        <v>25</v>
      </c>
      <c r="U1" s="4" t="s">
        <v>26</v>
      </c>
      <c r="V1" s="15" t="s">
        <v>27</v>
      </c>
      <c r="W1" s="4" t="s">
        <v>28</v>
      </c>
      <c r="X1" s="4" t="s">
        <v>17</v>
      </c>
      <c r="Y1" s="4" t="s">
        <v>21</v>
      </c>
    </row>
    <row r="2" spans="1:46" x14ac:dyDescent="0.25">
      <c r="F2" s="1"/>
      <c r="J2" s="4"/>
      <c r="M2" s="4"/>
      <c r="N2" s="1"/>
      <c r="O2" s="1"/>
      <c r="P2" s="16"/>
      <c r="Q2" s="17"/>
      <c r="R2" s="2"/>
      <c r="S2" s="4"/>
      <c r="T2" s="2"/>
      <c r="U2" s="4"/>
      <c r="V2" s="17"/>
      <c r="W2" s="4"/>
      <c r="X2" s="4"/>
      <c r="Y2" s="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"/>
      <c r="Q3" s="17"/>
      <c r="R3" s="1"/>
      <c r="S3" s="1"/>
      <c r="T3" s="1"/>
      <c r="U3" s="1"/>
      <c r="V3" s="17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.75" thickBot="1" x14ac:dyDescent="0.3">
      <c r="A4" s="8" cm="1">
        <f t="array" ref="A4">SUBTOTAL(103,ScanStatus)</f>
        <v>0</v>
      </c>
      <c r="B4" s="8">
        <f>COUNTIFS(Plex_mkclean_candidates[Candidate],TRUE)</f>
        <v>0</v>
      </c>
      <c r="C4" s="8">
        <f>COUNTIFS(Plex_mkclean_candidates[Strict
Candidate],TRUE)</f>
        <v>0</v>
      </c>
      <c r="D4" s="8">
        <f>COUNTIFS(Plex_mkclean_candidates[Is
Mkclean],TRUE)</f>
        <v>0</v>
      </c>
      <c r="E4" s="8">
        <f>COUNTIFS(Plex_mkclean_candidates[Has
HEVC],TRUE)</f>
        <v>0</v>
      </c>
      <c r="F4" s="8">
        <f>COUNTIFS(Plex_mkclean_candidates[HEVC Track
Compressed],TRUE)</f>
        <v>0</v>
      </c>
      <c r="G4" s="8">
        <f>COUNTIFS(Plex_mkclean_candidates[Codec Private
Scope 2],TRUE)</f>
        <v>0</v>
      </c>
      <c r="H4" s="8">
        <f>COUNTIFS(Plex_mkclean_candidates[Unknown HEVC
Profile],TRUE)</f>
        <v>0</v>
      </c>
      <c r="I4" s="8">
        <f>COUNTIFS(Plex_mkclean_candidates[Content
Compression],TRUE)</f>
        <v>0</v>
      </c>
      <c r="J4" s="8"/>
      <c r="K4" s="8"/>
      <c r="L4" s="8"/>
      <c r="M4" s="8"/>
      <c r="N4" s="8"/>
      <c r="O4" s="8"/>
      <c r="P4" s="20">
        <f>SUBTOTAL(109,SizeGiB)</f>
        <v>0</v>
      </c>
      <c r="Q4" s="8">
        <f>SUBTOTAL(109,SizeBytes)</f>
        <v>0</v>
      </c>
      <c r="R4" s="8"/>
      <c r="S4" s="8">
        <f>COUNTIF(Plex_mkclean_candidates[Remux
Status],"Fixed*")</f>
        <v>0</v>
      </c>
      <c r="T4" s="8"/>
      <c r="U4" s="8"/>
      <c r="V4" s="8">
        <f>SUBTOTAL(109,Plex_mkclean_candidates[Remux Size
Bytes])</f>
        <v>0</v>
      </c>
      <c r="W4" s="8"/>
      <c r="X4" s="8"/>
      <c r="Y4" s="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5.75" thickTop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6"/>
      <c r="Q5" s="17"/>
      <c r="R5" s="1"/>
      <c r="S5" s="1"/>
      <c r="T5" s="1"/>
      <c r="U5" s="1"/>
      <c r="V5" s="17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26:46" x14ac:dyDescent="0.25"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26:46" x14ac:dyDescent="0.25"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26:46" x14ac:dyDescent="0.25"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26:46" x14ac:dyDescent="0.25"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26:46" x14ac:dyDescent="0.25"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26:46" x14ac:dyDescent="0.25"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26:46" x14ac:dyDescent="0.25"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26:46" x14ac:dyDescent="0.25"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26:46" x14ac:dyDescent="0.25"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26:46" x14ac:dyDescent="0.25"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26:46" x14ac:dyDescent="0.25"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26:46" x14ac:dyDescent="0.25"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26:46" x14ac:dyDescent="0.25"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26:46" x14ac:dyDescent="0.25"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26:46" x14ac:dyDescent="0.25"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26:46" x14ac:dyDescent="0.25">
      <c r="Z32" s="1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27:46" x14ac:dyDescent="0.25"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27:46" x14ac:dyDescent="0.25"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27:46" x14ac:dyDescent="0.25"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27:46" x14ac:dyDescent="0.25"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27:46" x14ac:dyDescent="0.25"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27:46" x14ac:dyDescent="0.25"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27:46" x14ac:dyDescent="0.25"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27:46" x14ac:dyDescent="0.25"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27:46" x14ac:dyDescent="0.25"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27:46" x14ac:dyDescent="0.25"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27:46" x14ac:dyDescent="0.25"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27:46" x14ac:dyDescent="0.25"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27:46" x14ac:dyDescent="0.25"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27:46" x14ac:dyDescent="0.25"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27:46" x14ac:dyDescent="0.25"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27:46" x14ac:dyDescent="0.25"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27:46" x14ac:dyDescent="0.25"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27:46" x14ac:dyDescent="0.25"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27:46" x14ac:dyDescent="0.25"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27:46" x14ac:dyDescent="0.25"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27:46" x14ac:dyDescent="0.25"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27:46" x14ac:dyDescent="0.25"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27:46" x14ac:dyDescent="0.25"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27:46" x14ac:dyDescent="0.25"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27:46" x14ac:dyDescent="0.25"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27:46" x14ac:dyDescent="0.25"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27:46" x14ac:dyDescent="0.25"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27:46" x14ac:dyDescent="0.25"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27:46" x14ac:dyDescent="0.25"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27:46" x14ac:dyDescent="0.25"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27:46" x14ac:dyDescent="0.25"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27:46" x14ac:dyDescent="0.25"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27:46" x14ac:dyDescent="0.25"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27:46" x14ac:dyDescent="0.25"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27:46" x14ac:dyDescent="0.25"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27:46" x14ac:dyDescent="0.25"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27:46" x14ac:dyDescent="0.25"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27:46" x14ac:dyDescent="0.25"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27:46" x14ac:dyDescent="0.25"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27:46" x14ac:dyDescent="0.25"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27:46" x14ac:dyDescent="0.25"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27:46" x14ac:dyDescent="0.25"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27:46" x14ac:dyDescent="0.25"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27:46" x14ac:dyDescent="0.25"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27:46" x14ac:dyDescent="0.25"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27:46" x14ac:dyDescent="0.25"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27:46" x14ac:dyDescent="0.25"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27:46" x14ac:dyDescent="0.25"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27:46" x14ac:dyDescent="0.25"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27:46" x14ac:dyDescent="0.25"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27:46" x14ac:dyDescent="0.25"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27:46" x14ac:dyDescent="0.25"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27:46" x14ac:dyDescent="0.25"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27:46" x14ac:dyDescent="0.25"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27:46" x14ac:dyDescent="0.25"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27:46" x14ac:dyDescent="0.25"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27:46" x14ac:dyDescent="0.25"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27:46" x14ac:dyDescent="0.25"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27:46" x14ac:dyDescent="0.25"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27:46" x14ac:dyDescent="0.25"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27:46" x14ac:dyDescent="0.25"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27:46" x14ac:dyDescent="0.25"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27:46" x14ac:dyDescent="0.25"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27:46" x14ac:dyDescent="0.25"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27:46" x14ac:dyDescent="0.25"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27:46" x14ac:dyDescent="0.25"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27:46" x14ac:dyDescent="0.25"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27:46" x14ac:dyDescent="0.25"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27:46" x14ac:dyDescent="0.25"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27:46" x14ac:dyDescent="0.25"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27:46" x14ac:dyDescent="0.25"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27:46" x14ac:dyDescent="0.25"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27:46" x14ac:dyDescent="0.25"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27:46" x14ac:dyDescent="0.25"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27:46" x14ac:dyDescent="0.25"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27:46" x14ac:dyDescent="0.25"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27:46" x14ac:dyDescent="0.25"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27:46" x14ac:dyDescent="0.25"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27:46" x14ac:dyDescent="0.25"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27:46" x14ac:dyDescent="0.25"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27:46" x14ac:dyDescent="0.25"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27:46" x14ac:dyDescent="0.25"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27:46" x14ac:dyDescent="0.25"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27:46" x14ac:dyDescent="0.25"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27:46" x14ac:dyDescent="0.25"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27:46" x14ac:dyDescent="0.25"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27:46" x14ac:dyDescent="0.25"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27:46" x14ac:dyDescent="0.25"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27:46" x14ac:dyDescent="0.25"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27:46" x14ac:dyDescent="0.25"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27:46" x14ac:dyDescent="0.25"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27:46" x14ac:dyDescent="0.25"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27:46" x14ac:dyDescent="0.25"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27:46" x14ac:dyDescent="0.25"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27:46" x14ac:dyDescent="0.25"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27:46" x14ac:dyDescent="0.25"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27:46" x14ac:dyDescent="0.25"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27:46" x14ac:dyDescent="0.25"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27:46" x14ac:dyDescent="0.25"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27:46" x14ac:dyDescent="0.25"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27:46" x14ac:dyDescent="0.25"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27:46" x14ac:dyDescent="0.25"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27:46" x14ac:dyDescent="0.25"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27:46" x14ac:dyDescent="0.25"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27:46" x14ac:dyDescent="0.25"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27:46" x14ac:dyDescent="0.25"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27:46" x14ac:dyDescent="0.25"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27:46" x14ac:dyDescent="0.25"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27:46" x14ac:dyDescent="0.25"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27:46" x14ac:dyDescent="0.25"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27:46" x14ac:dyDescent="0.25"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27:46" x14ac:dyDescent="0.25"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27:46" x14ac:dyDescent="0.25"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27:46" x14ac:dyDescent="0.25"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27:46" x14ac:dyDescent="0.25"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27:46" x14ac:dyDescent="0.25"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27:46" x14ac:dyDescent="0.25"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27:46" x14ac:dyDescent="0.25"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27:46" x14ac:dyDescent="0.25"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27:46" x14ac:dyDescent="0.25"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27:46" x14ac:dyDescent="0.25"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27:46" x14ac:dyDescent="0.25"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27:46" x14ac:dyDescent="0.25"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27:46" x14ac:dyDescent="0.25"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27:46" x14ac:dyDescent="0.25"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27:46" x14ac:dyDescent="0.25"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27:46" x14ac:dyDescent="0.25"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27:46" x14ac:dyDescent="0.25"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27:46" x14ac:dyDescent="0.25"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27:46" x14ac:dyDescent="0.25"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27:46" x14ac:dyDescent="0.25"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27:46" x14ac:dyDescent="0.25"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27:46" x14ac:dyDescent="0.25"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27:46" x14ac:dyDescent="0.25"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27:46" x14ac:dyDescent="0.25"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27:46" x14ac:dyDescent="0.25"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27:46" x14ac:dyDescent="0.25"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27:46" x14ac:dyDescent="0.25"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27:46" x14ac:dyDescent="0.25"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27:46" x14ac:dyDescent="0.25"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27:46" x14ac:dyDescent="0.25"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27:46" x14ac:dyDescent="0.25"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27:46" x14ac:dyDescent="0.25"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27:46" x14ac:dyDescent="0.25"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27:46" x14ac:dyDescent="0.25"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27:46" x14ac:dyDescent="0.25"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27:46" x14ac:dyDescent="0.25"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27:46" x14ac:dyDescent="0.25"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27:46" x14ac:dyDescent="0.25"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27:46" x14ac:dyDescent="0.25"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27:46" x14ac:dyDescent="0.25"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27:46" x14ac:dyDescent="0.25"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27:46" x14ac:dyDescent="0.25"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27:46" x14ac:dyDescent="0.25"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27:46" x14ac:dyDescent="0.25"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27:46" x14ac:dyDescent="0.25"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27:46" x14ac:dyDescent="0.25"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27:46" x14ac:dyDescent="0.25"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27:46" x14ac:dyDescent="0.25"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27:46" x14ac:dyDescent="0.25"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27:46" x14ac:dyDescent="0.25"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27:46" x14ac:dyDescent="0.25"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27:46" x14ac:dyDescent="0.25"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27:46" x14ac:dyDescent="0.25"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27:46" x14ac:dyDescent="0.25"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27:46" x14ac:dyDescent="0.25"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27:46" x14ac:dyDescent="0.25"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27:46" x14ac:dyDescent="0.25"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27:46" x14ac:dyDescent="0.25"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27:46" x14ac:dyDescent="0.25"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27:46" x14ac:dyDescent="0.25"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27:46" x14ac:dyDescent="0.25"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27:46" x14ac:dyDescent="0.25"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27:46" x14ac:dyDescent="0.25"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27:46" x14ac:dyDescent="0.25"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27:46" x14ac:dyDescent="0.25"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27:46" x14ac:dyDescent="0.25"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27:46" x14ac:dyDescent="0.25"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27:46" x14ac:dyDescent="0.25"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27:46" x14ac:dyDescent="0.25"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27:46" x14ac:dyDescent="0.25"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27:46" x14ac:dyDescent="0.25"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27:46" x14ac:dyDescent="0.25"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27:46" x14ac:dyDescent="0.25"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27:46" x14ac:dyDescent="0.25"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27:46" x14ac:dyDescent="0.25"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27:46" x14ac:dyDescent="0.25"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27:46" x14ac:dyDescent="0.25"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27:46" x14ac:dyDescent="0.25"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27:46" x14ac:dyDescent="0.25"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27:46" x14ac:dyDescent="0.25"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27:46" x14ac:dyDescent="0.25"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27:46" x14ac:dyDescent="0.25"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27:46" x14ac:dyDescent="0.25"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27:46" x14ac:dyDescent="0.25"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27:46" x14ac:dyDescent="0.25"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27:46" x14ac:dyDescent="0.25"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27:46" x14ac:dyDescent="0.25"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27:46" x14ac:dyDescent="0.25"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27:46" x14ac:dyDescent="0.25"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27:46" x14ac:dyDescent="0.25"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27:46" x14ac:dyDescent="0.25"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27:46" x14ac:dyDescent="0.25"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27:46" x14ac:dyDescent="0.25"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27:46" x14ac:dyDescent="0.25"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27:46" x14ac:dyDescent="0.25"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27:46" x14ac:dyDescent="0.25"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27:46" x14ac:dyDescent="0.25"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27:46" x14ac:dyDescent="0.25"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27:46" x14ac:dyDescent="0.25"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27:46" x14ac:dyDescent="0.25"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27:46" x14ac:dyDescent="0.25"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27:46" x14ac:dyDescent="0.25"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27:46" x14ac:dyDescent="0.25"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27:46" x14ac:dyDescent="0.25"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27:46" x14ac:dyDescent="0.25"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27:46" x14ac:dyDescent="0.25"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27:46" x14ac:dyDescent="0.25"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27:46" x14ac:dyDescent="0.25"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27:46" x14ac:dyDescent="0.25"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27:46" x14ac:dyDescent="0.25"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27:46" x14ac:dyDescent="0.25"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27:46" x14ac:dyDescent="0.25"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27:46" x14ac:dyDescent="0.25"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27:46" x14ac:dyDescent="0.25"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27:46" x14ac:dyDescent="0.25"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27:46" x14ac:dyDescent="0.25"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27:46" x14ac:dyDescent="0.25"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27:46" x14ac:dyDescent="0.25"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27:46" x14ac:dyDescent="0.25"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27:46" x14ac:dyDescent="0.25"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27:46" x14ac:dyDescent="0.25"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27:46" x14ac:dyDescent="0.25"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27:46" x14ac:dyDescent="0.25"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27:46" x14ac:dyDescent="0.25"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27:46" x14ac:dyDescent="0.25"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27:46" x14ac:dyDescent="0.25"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27:46" x14ac:dyDescent="0.25"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27:46" x14ac:dyDescent="0.25"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27:46" x14ac:dyDescent="0.25"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27:46" x14ac:dyDescent="0.25"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27:46" x14ac:dyDescent="0.25"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27:46" x14ac:dyDescent="0.25"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27:46" x14ac:dyDescent="0.25"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27:46" x14ac:dyDescent="0.25"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27:46" x14ac:dyDescent="0.25"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27:46" x14ac:dyDescent="0.25"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27:46" x14ac:dyDescent="0.25"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27:46" x14ac:dyDescent="0.25"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27:46" x14ac:dyDescent="0.25"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27:46" x14ac:dyDescent="0.25"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27:46" x14ac:dyDescent="0.25"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27:46" x14ac:dyDescent="0.25"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27:46" x14ac:dyDescent="0.25"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27:46" x14ac:dyDescent="0.25"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27:46" x14ac:dyDescent="0.25"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27:46" x14ac:dyDescent="0.25"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27:46" x14ac:dyDescent="0.25"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27:46" x14ac:dyDescent="0.25"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27:46" x14ac:dyDescent="0.25"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27:46" x14ac:dyDescent="0.25"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27:46" x14ac:dyDescent="0.25"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27:46" x14ac:dyDescent="0.25"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27:46" x14ac:dyDescent="0.25"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27:46" x14ac:dyDescent="0.25"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27:46" x14ac:dyDescent="0.25"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27:46" x14ac:dyDescent="0.25"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27:46" x14ac:dyDescent="0.25"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27:46" x14ac:dyDescent="0.25"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27:46" x14ac:dyDescent="0.25"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27:46" x14ac:dyDescent="0.25"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27:46" x14ac:dyDescent="0.25"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27:46" x14ac:dyDescent="0.25"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27:46" x14ac:dyDescent="0.25"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27:46" x14ac:dyDescent="0.25"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27:46" x14ac:dyDescent="0.25"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27:46" x14ac:dyDescent="0.25"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27:46" x14ac:dyDescent="0.25"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27:46" x14ac:dyDescent="0.25"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27:46" x14ac:dyDescent="0.25"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27:46" x14ac:dyDescent="0.25"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27:46" x14ac:dyDescent="0.25"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27:46" x14ac:dyDescent="0.25"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27:46" x14ac:dyDescent="0.25"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27:46" x14ac:dyDescent="0.25"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27:46" x14ac:dyDescent="0.25"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27:46" x14ac:dyDescent="0.25"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27:46" x14ac:dyDescent="0.25"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27:46" x14ac:dyDescent="0.25"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27:46" x14ac:dyDescent="0.25"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27:46" x14ac:dyDescent="0.25"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27:46" x14ac:dyDescent="0.25"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27:46" x14ac:dyDescent="0.25"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27:46" x14ac:dyDescent="0.25"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27:46" x14ac:dyDescent="0.25"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27:46" x14ac:dyDescent="0.25"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27:46" x14ac:dyDescent="0.25"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27:46" x14ac:dyDescent="0.25"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27:46" x14ac:dyDescent="0.25"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27:46" x14ac:dyDescent="0.25"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27:46" x14ac:dyDescent="0.25"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27:46" x14ac:dyDescent="0.25"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27:46" x14ac:dyDescent="0.25"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27:46" x14ac:dyDescent="0.25"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27:46" x14ac:dyDescent="0.25"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27:46" x14ac:dyDescent="0.25"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27:46" x14ac:dyDescent="0.25"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27:46" x14ac:dyDescent="0.25"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27:46" x14ac:dyDescent="0.25"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27:46" x14ac:dyDescent="0.25"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27:46" x14ac:dyDescent="0.25"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27:46" x14ac:dyDescent="0.25"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27:46" x14ac:dyDescent="0.25"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27:46" x14ac:dyDescent="0.25"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27:46" x14ac:dyDescent="0.25"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27:46" x14ac:dyDescent="0.25"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27:46" x14ac:dyDescent="0.25"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27:46" x14ac:dyDescent="0.25"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27:46" x14ac:dyDescent="0.25"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27:46" x14ac:dyDescent="0.25"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27:46" x14ac:dyDescent="0.25"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27:46" x14ac:dyDescent="0.25"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27:46" x14ac:dyDescent="0.25"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27:46" x14ac:dyDescent="0.25"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27:46" x14ac:dyDescent="0.25"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27:46" x14ac:dyDescent="0.25"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27:46" x14ac:dyDescent="0.25"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27:46" x14ac:dyDescent="0.25"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27:46" x14ac:dyDescent="0.25"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27:46" x14ac:dyDescent="0.25"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27:46" x14ac:dyDescent="0.25"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27:46" x14ac:dyDescent="0.25"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27:46" x14ac:dyDescent="0.25"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27:46" x14ac:dyDescent="0.25"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27:46" x14ac:dyDescent="0.25"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27:46" x14ac:dyDescent="0.25"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27:46" x14ac:dyDescent="0.25"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27:46" x14ac:dyDescent="0.25"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27:46" x14ac:dyDescent="0.25"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27:46" x14ac:dyDescent="0.25"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27:46" x14ac:dyDescent="0.25"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27:46" x14ac:dyDescent="0.25"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27:46" x14ac:dyDescent="0.25"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27:46" x14ac:dyDescent="0.25"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27:46" x14ac:dyDescent="0.25"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27:46" x14ac:dyDescent="0.25"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27:46" x14ac:dyDescent="0.25"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27:46" x14ac:dyDescent="0.25"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27:46" x14ac:dyDescent="0.25"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27:46" x14ac:dyDescent="0.25"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27:46" x14ac:dyDescent="0.25"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27:46" x14ac:dyDescent="0.25"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27:46" x14ac:dyDescent="0.25"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27:46" x14ac:dyDescent="0.25"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27:46" x14ac:dyDescent="0.25"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27:46" x14ac:dyDescent="0.25"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27:46" x14ac:dyDescent="0.25"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27:46" x14ac:dyDescent="0.25"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27:46" x14ac:dyDescent="0.25"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27:46" x14ac:dyDescent="0.25"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27:46" x14ac:dyDescent="0.25"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27:46" x14ac:dyDescent="0.25"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27:46" x14ac:dyDescent="0.25"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27:46" x14ac:dyDescent="0.25"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27:46" x14ac:dyDescent="0.25"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27:46" x14ac:dyDescent="0.25"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27:46" x14ac:dyDescent="0.25"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27:46" x14ac:dyDescent="0.25"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27:46" x14ac:dyDescent="0.25"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27:46" x14ac:dyDescent="0.25"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27:46" x14ac:dyDescent="0.25"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27:46" x14ac:dyDescent="0.25"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27:46" x14ac:dyDescent="0.25"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27:46" x14ac:dyDescent="0.25"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27:46" x14ac:dyDescent="0.25"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27:46" x14ac:dyDescent="0.25"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27:46" x14ac:dyDescent="0.25"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27:46" x14ac:dyDescent="0.25"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27:46" x14ac:dyDescent="0.25"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27:46" x14ac:dyDescent="0.25"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27:46" x14ac:dyDescent="0.25"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27:46" x14ac:dyDescent="0.25"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27:46" x14ac:dyDescent="0.25"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27:46" x14ac:dyDescent="0.25"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27:46" x14ac:dyDescent="0.25"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27:46" x14ac:dyDescent="0.25"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27:46" x14ac:dyDescent="0.25"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27:46" x14ac:dyDescent="0.25"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27:46" x14ac:dyDescent="0.25"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27:46" x14ac:dyDescent="0.25"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27:46" x14ac:dyDescent="0.25"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27:46" x14ac:dyDescent="0.25"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27:46" x14ac:dyDescent="0.25"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27:46" x14ac:dyDescent="0.25"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27:46" x14ac:dyDescent="0.25"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27:46" x14ac:dyDescent="0.25"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27:46" x14ac:dyDescent="0.25"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27:46" x14ac:dyDescent="0.25"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27:46" x14ac:dyDescent="0.25"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27:46" x14ac:dyDescent="0.25"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27:46" x14ac:dyDescent="0.25"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27:46" x14ac:dyDescent="0.25"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27:46" x14ac:dyDescent="0.25"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27:46" x14ac:dyDescent="0.25"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27:46" x14ac:dyDescent="0.25"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27:46" x14ac:dyDescent="0.25"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27:46" x14ac:dyDescent="0.25"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27:46" x14ac:dyDescent="0.25"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27:46" x14ac:dyDescent="0.25"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27:46" x14ac:dyDescent="0.25"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27:46" x14ac:dyDescent="0.25"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27:46" x14ac:dyDescent="0.25"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27:46" x14ac:dyDescent="0.25"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27:46" x14ac:dyDescent="0.25"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27:46" x14ac:dyDescent="0.25"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27:46" x14ac:dyDescent="0.25"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27:46" x14ac:dyDescent="0.25"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27:46" x14ac:dyDescent="0.25"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27:46" x14ac:dyDescent="0.25"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27:46" x14ac:dyDescent="0.25"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27:46" x14ac:dyDescent="0.25"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27:46" x14ac:dyDescent="0.25"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27:46" x14ac:dyDescent="0.25"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27:46" x14ac:dyDescent="0.25"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27:46" x14ac:dyDescent="0.25"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27:46" x14ac:dyDescent="0.25"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27:46" x14ac:dyDescent="0.25"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27:46" x14ac:dyDescent="0.25"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27:46" x14ac:dyDescent="0.25"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27:46" x14ac:dyDescent="0.25"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27:46" x14ac:dyDescent="0.25"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27:46" x14ac:dyDescent="0.25"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27:46" x14ac:dyDescent="0.25"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27:46" x14ac:dyDescent="0.25"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27:46" x14ac:dyDescent="0.25"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27:46" x14ac:dyDescent="0.25"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27:46" x14ac:dyDescent="0.25"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27:46" x14ac:dyDescent="0.25"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27:46" x14ac:dyDescent="0.25"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27:46" x14ac:dyDescent="0.25"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27:46" x14ac:dyDescent="0.25"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27:46" x14ac:dyDescent="0.25"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27:46" x14ac:dyDescent="0.25"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27:46" x14ac:dyDescent="0.25"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27:46" x14ac:dyDescent="0.25"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27:46" x14ac:dyDescent="0.25"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27:46" x14ac:dyDescent="0.25"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27:46" x14ac:dyDescent="0.25"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27:46" x14ac:dyDescent="0.25"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27:46" x14ac:dyDescent="0.25"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27:46" x14ac:dyDescent="0.25"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27:46" x14ac:dyDescent="0.25"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27:46" x14ac:dyDescent="0.25"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27:46" x14ac:dyDescent="0.25"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27:46" x14ac:dyDescent="0.25"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27:46" x14ac:dyDescent="0.25"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27:46" x14ac:dyDescent="0.25"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27:46" x14ac:dyDescent="0.25"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27:46" x14ac:dyDescent="0.25"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27:46" x14ac:dyDescent="0.25"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27:46" x14ac:dyDescent="0.25"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27:46" x14ac:dyDescent="0.25"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27:46" x14ac:dyDescent="0.25"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27:46" x14ac:dyDescent="0.25"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27:46" x14ac:dyDescent="0.25"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27:46" x14ac:dyDescent="0.25"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27:46" x14ac:dyDescent="0.25"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27:46" x14ac:dyDescent="0.25"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27:46" x14ac:dyDescent="0.25"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27:46" x14ac:dyDescent="0.25"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27:46" x14ac:dyDescent="0.25"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27:46" x14ac:dyDescent="0.25"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27:46" x14ac:dyDescent="0.25"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27:46" x14ac:dyDescent="0.25"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27:46" x14ac:dyDescent="0.25"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27:46" x14ac:dyDescent="0.25"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27:46" x14ac:dyDescent="0.25"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27:46" x14ac:dyDescent="0.25"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27:46" x14ac:dyDescent="0.25"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27:46" x14ac:dyDescent="0.25"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27:46" x14ac:dyDescent="0.25"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27:46" x14ac:dyDescent="0.25"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27:46" x14ac:dyDescent="0.25"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27:46" x14ac:dyDescent="0.25"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27:46" x14ac:dyDescent="0.25"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27:46" x14ac:dyDescent="0.25"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27:46" x14ac:dyDescent="0.25"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27:46" x14ac:dyDescent="0.25"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27:46" x14ac:dyDescent="0.25"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27:46" x14ac:dyDescent="0.25"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27:46" x14ac:dyDescent="0.25"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27:46" x14ac:dyDescent="0.25"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27:46" x14ac:dyDescent="0.25"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27:46" x14ac:dyDescent="0.25"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27:46" x14ac:dyDescent="0.25"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27:46" x14ac:dyDescent="0.25"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27:46" x14ac:dyDescent="0.25"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27:46" x14ac:dyDescent="0.25"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27:46" x14ac:dyDescent="0.25"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27:46" x14ac:dyDescent="0.25"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27:46" x14ac:dyDescent="0.25"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27:46" x14ac:dyDescent="0.25"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27:46" x14ac:dyDescent="0.25"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27:46" x14ac:dyDescent="0.25"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27:46" x14ac:dyDescent="0.25"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27:46" x14ac:dyDescent="0.25"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27:46" x14ac:dyDescent="0.25"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27:46" x14ac:dyDescent="0.25"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27:46" x14ac:dyDescent="0.25"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27:46" x14ac:dyDescent="0.25"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27:46" x14ac:dyDescent="0.25"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27:46" x14ac:dyDescent="0.25"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27:46" x14ac:dyDescent="0.25"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27:46" x14ac:dyDescent="0.25"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27:46" x14ac:dyDescent="0.25"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27:46" x14ac:dyDescent="0.25"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27:46" x14ac:dyDescent="0.25"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27:46" x14ac:dyDescent="0.25"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27:46" x14ac:dyDescent="0.25"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27:46" x14ac:dyDescent="0.25"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27:46" x14ac:dyDescent="0.25"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27:46" x14ac:dyDescent="0.25"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27:46" x14ac:dyDescent="0.25"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27:46" x14ac:dyDescent="0.25"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27:46" x14ac:dyDescent="0.25"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27:46" x14ac:dyDescent="0.25"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27:46" x14ac:dyDescent="0.25"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27:46" x14ac:dyDescent="0.25"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27:46" x14ac:dyDescent="0.25"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27:46" x14ac:dyDescent="0.25"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27:46" x14ac:dyDescent="0.25"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27:46" x14ac:dyDescent="0.25"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27:46" x14ac:dyDescent="0.25"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27:46" x14ac:dyDescent="0.25"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27:46" x14ac:dyDescent="0.25"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27:46" x14ac:dyDescent="0.25"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27:46" x14ac:dyDescent="0.25"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27:46" x14ac:dyDescent="0.25"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27:46" x14ac:dyDescent="0.25"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27:46" x14ac:dyDescent="0.25"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27:46" x14ac:dyDescent="0.25"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27:46" x14ac:dyDescent="0.25"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27:46" x14ac:dyDescent="0.25"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27:46" x14ac:dyDescent="0.25"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27:46" x14ac:dyDescent="0.25"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27:46" x14ac:dyDescent="0.25"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27:46" x14ac:dyDescent="0.25"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27:46" x14ac:dyDescent="0.25"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27:46" x14ac:dyDescent="0.25"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27:46" x14ac:dyDescent="0.25"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27:46" x14ac:dyDescent="0.25"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27:46" x14ac:dyDescent="0.25"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27:46" x14ac:dyDescent="0.25"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27:46" x14ac:dyDescent="0.25"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27:46" x14ac:dyDescent="0.25"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27:46" x14ac:dyDescent="0.25"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27:46" x14ac:dyDescent="0.25"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27:46" x14ac:dyDescent="0.25"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27:46" x14ac:dyDescent="0.25"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27:46" x14ac:dyDescent="0.25"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27:46" x14ac:dyDescent="0.25"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27:46" x14ac:dyDescent="0.25"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27:46" x14ac:dyDescent="0.25"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27:46" x14ac:dyDescent="0.25"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27:46" x14ac:dyDescent="0.25"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27:46" x14ac:dyDescent="0.25"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27:46" x14ac:dyDescent="0.25"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27:46" x14ac:dyDescent="0.25"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27:46" x14ac:dyDescent="0.25"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27:46" x14ac:dyDescent="0.25"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27:46" x14ac:dyDescent="0.25"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27:46" x14ac:dyDescent="0.25"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27:46" x14ac:dyDescent="0.25"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27:46" x14ac:dyDescent="0.25"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spans="27:46" x14ac:dyDescent="0.25"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spans="27:46" x14ac:dyDescent="0.25"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spans="27:46" x14ac:dyDescent="0.25"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spans="27:46" x14ac:dyDescent="0.25"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spans="27:46" x14ac:dyDescent="0.25"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spans="27:46" x14ac:dyDescent="0.25"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spans="27:46" x14ac:dyDescent="0.25"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spans="27:46" x14ac:dyDescent="0.25"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spans="27:46" x14ac:dyDescent="0.25"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spans="27:46" x14ac:dyDescent="0.25"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spans="27:46" x14ac:dyDescent="0.25"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spans="27:46" x14ac:dyDescent="0.25"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spans="27:46" x14ac:dyDescent="0.25"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spans="27:46" x14ac:dyDescent="0.25"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spans="27:46" x14ac:dyDescent="0.25"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spans="27:46" x14ac:dyDescent="0.25"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spans="27:46" x14ac:dyDescent="0.25"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spans="27:46" x14ac:dyDescent="0.25"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spans="27:46" x14ac:dyDescent="0.25"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spans="27:46" x14ac:dyDescent="0.25"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spans="27:46" x14ac:dyDescent="0.25"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spans="27:46" x14ac:dyDescent="0.25"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spans="27:46" x14ac:dyDescent="0.25"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spans="27:46" x14ac:dyDescent="0.25"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spans="27:46" x14ac:dyDescent="0.25"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spans="27:46" x14ac:dyDescent="0.25"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spans="27:46" x14ac:dyDescent="0.25"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spans="27:46" x14ac:dyDescent="0.25"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spans="27:46" x14ac:dyDescent="0.25"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spans="27:46" x14ac:dyDescent="0.25"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spans="27:46" x14ac:dyDescent="0.25"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spans="27:46" x14ac:dyDescent="0.25"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spans="27:46" x14ac:dyDescent="0.25"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spans="27:46" x14ac:dyDescent="0.25"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spans="27:46" x14ac:dyDescent="0.25"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spans="27:46" x14ac:dyDescent="0.25"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spans="27:46" x14ac:dyDescent="0.25"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27:46" x14ac:dyDescent="0.25"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spans="27:46" x14ac:dyDescent="0.25"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spans="27:46" x14ac:dyDescent="0.25"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spans="27:46" x14ac:dyDescent="0.25"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spans="27:46" x14ac:dyDescent="0.25"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spans="27:46" x14ac:dyDescent="0.25"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spans="27:46" x14ac:dyDescent="0.25"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spans="27:46" x14ac:dyDescent="0.25"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spans="27:46" x14ac:dyDescent="0.25"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spans="27:46" x14ac:dyDescent="0.25"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spans="27:46" x14ac:dyDescent="0.25"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spans="27:46" x14ac:dyDescent="0.25"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spans="27:46" x14ac:dyDescent="0.25"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spans="27:46" x14ac:dyDescent="0.25"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spans="27:46" x14ac:dyDescent="0.25"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spans="27:46" x14ac:dyDescent="0.25"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spans="27:46" x14ac:dyDescent="0.25"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spans="27:46" x14ac:dyDescent="0.25"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spans="27:46" x14ac:dyDescent="0.25"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spans="27:46" x14ac:dyDescent="0.25"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spans="27:46" x14ac:dyDescent="0.25"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spans="27:46" x14ac:dyDescent="0.25"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spans="27:46" x14ac:dyDescent="0.25"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spans="27:46" x14ac:dyDescent="0.25"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spans="27:46" x14ac:dyDescent="0.25"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spans="27:46" x14ac:dyDescent="0.25"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spans="27:46" x14ac:dyDescent="0.25"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spans="27:46" x14ac:dyDescent="0.25"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spans="27:46" x14ac:dyDescent="0.25"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spans="27:46" x14ac:dyDescent="0.25"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spans="27:46" x14ac:dyDescent="0.25"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spans="27:46" x14ac:dyDescent="0.25"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spans="27:46" x14ac:dyDescent="0.25"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spans="27:46" x14ac:dyDescent="0.25"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spans="27:46" x14ac:dyDescent="0.25"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spans="27:46" x14ac:dyDescent="0.25"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spans="27:46" x14ac:dyDescent="0.25"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spans="27:46" x14ac:dyDescent="0.25"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spans="27:46" x14ac:dyDescent="0.25"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spans="27:46" x14ac:dyDescent="0.25"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spans="27:46" x14ac:dyDescent="0.25"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spans="27:46" x14ac:dyDescent="0.25"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spans="27:46" x14ac:dyDescent="0.25"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spans="27:46" x14ac:dyDescent="0.25"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spans="27:46" x14ac:dyDescent="0.25"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spans="27:46" x14ac:dyDescent="0.25"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spans="27:46" x14ac:dyDescent="0.25"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spans="27:46" x14ac:dyDescent="0.25"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spans="27:46" x14ac:dyDescent="0.25"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spans="27:46" x14ac:dyDescent="0.25"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spans="27:46" x14ac:dyDescent="0.25"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spans="27:46" x14ac:dyDescent="0.25"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spans="27:46" x14ac:dyDescent="0.25"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spans="27:46" x14ac:dyDescent="0.25"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spans="27:46" x14ac:dyDescent="0.25"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spans="27:46" x14ac:dyDescent="0.25"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spans="27:46" x14ac:dyDescent="0.25"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spans="27:46" x14ac:dyDescent="0.25"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spans="27:46" x14ac:dyDescent="0.25"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spans="27:46" x14ac:dyDescent="0.25"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spans="27:46" x14ac:dyDescent="0.25"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spans="27:46" x14ac:dyDescent="0.25"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spans="27:46" x14ac:dyDescent="0.25"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spans="27:46" x14ac:dyDescent="0.25"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spans="27:46" x14ac:dyDescent="0.25"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spans="27:46" x14ac:dyDescent="0.25"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spans="27:46" x14ac:dyDescent="0.25"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spans="27:46" x14ac:dyDescent="0.25"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spans="27:46" x14ac:dyDescent="0.25"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spans="27:46" x14ac:dyDescent="0.25"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spans="27:46" x14ac:dyDescent="0.25"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spans="27:46" x14ac:dyDescent="0.25"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spans="27:46" x14ac:dyDescent="0.25"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spans="27:46" x14ac:dyDescent="0.25"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spans="27:46" x14ac:dyDescent="0.25"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spans="27:46" x14ac:dyDescent="0.25"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spans="27:46" x14ac:dyDescent="0.25"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27:46" x14ac:dyDescent="0.25"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spans="27:46" x14ac:dyDescent="0.25"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spans="27:46" x14ac:dyDescent="0.25"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spans="27:46" x14ac:dyDescent="0.25"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spans="27:46" x14ac:dyDescent="0.25"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spans="27:46" x14ac:dyDescent="0.25"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spans="27:46" x14ac:dyDescent="0.25"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spans="27:46" x14ac:dyDescent="0.25"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spans="27:46" x14ac:dyDescent="0.25"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spans="27:46" x14ac:dyDescent="0.25"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spans="27:46" x14ac:dyDescent="0.25"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spans="27:46" x14ac:dyDescent="0.25"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spans="27:46" x14ac:dyDescent="0.25"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spans="27:46" x14ac:dyDescent="0.25"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spans="27:46" x14ac:dyDescent="0.25"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spans="27:46" x14ac:dyDescent="0.25"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spans="27:46" x14ac:dyDescent="0.25"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spans="27:46" x14ac:dyDescent="0.25"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spans="27:46" x14ac:dyDescent="0.25"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spans="27:46" x14ac:dyDescent="0.25"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spans="27:46" x14ac:dyDescent="0.25"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spans="27:46" x14ac:dyDescent="0.25"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spans="27:46" x14ac:dyDescent="0.25"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spans="27:46" x14ac:dyDescent="0.25"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spans="27:46" x14ac:dyDescent="0.25"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spans="27:46" x14ac:dyDescent="0.25"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spans="27:46" x14ac:dyDescent="0.25"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spans="27:46" x14ac:dyDescent="0.25"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spans="27:46" x14ac:dyDescent="0.25"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spans="27:46" x14ac:dyDescent="0.25"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spans="27:46" x14ac:dyDescent="0.25"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spans="27:46" x14ac:dyDescent="0.25"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spans="27:46" x14ac:dyDescent="0.25"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spans="27:46" x14ac:dyDescent="0.25"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spans="27:46" x14ac:dyDescent="0.25"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spans="27:46" x14ac:dyDescent="0.25"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spans="27:46" x14ac:dyDescent="0.25"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spans="27:46" x14ac:dyDescent="0.25"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spans="27:46" x14ac:dyDescent="0.25"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spans="27:46" x14ac:dyDescent="0.25"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spans="27:46" x14ac:dyDescent="0.25"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spans="27:46" x14ac:dyDescent="0.25"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spans="27:46" x14ac:dyDescent="0.25"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spans="27:46" x14ac:dyDescent="0.25"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spans="27:46" x14ac:dyDescent="0.25"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spans="27:46" x14ac:dyDescent="0.25"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spans="27:46" x14ac:dyDescent="0.25"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spans="27:46" x14ac:dyDescent="0.25"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spans="27:46" x14ac:dyDescent="0.25"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spans="27:46" x14ac:dyDescent="0.25"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spans="27:46" x14ac:dyDescent="0.25"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spans="27:46" x14ac:dyDescent="0.25"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spans="27:46" x14ac:dyDescent="0.25"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spans="27:46" x14ac:dyDescent="0.25"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spans="27:46" x14ac:dyDescent="0.25"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spans="27:46" x14ac:dyDescent="0.25"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spans="27:46" x14ac:dyDescent="0.25"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spans="27:46" x14ac:dyDescent="0.25"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spans="27:46" x14ac:dyDescent="0.25"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spans="27:46" x14ac:dyDescent="0.25"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spans="27:46" x14ac:dyDescent="0.25"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spans="27:46" x14ac:dyDescent="0.25"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spans="27:46" x14ac:dyDescent="0.25"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spans="27:46" x14ac:dyDescent="0.25"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spans="27:46" x14ac:dyDescent="0.25"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spans="27:46" x14ac:dyDescent="0.25"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spans="27:46" x14ac:dyDescent="0.25"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spans="27:46" x14ac:dyDescent="0.25"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spans="27:46" x14ac:dyDescent="0.25"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spans="27:46" x14ac:dyDescent="0.25"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spans="27:46" x14ac:dyDescent="0.25"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spans="27:46" x14ac:dyDescent="0.25"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spans="27:46" x14ac:dyDescent="0.25"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spans="27:46" x14ac:dyDescent="0.25"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spans="27:46" x14ac:dyDescent="0.25"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spans="27:46" x14ac:dyDescent="0.25"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spans="27:46" x14ac:dyDescent="0.25"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spans="27:46" x14ac:dyDescent="0.25"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spans="27:46" x14ac:dyDescent="0.25"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spans="27:46" x14ac:dyDescent="0.25"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27:46" x14ac:dyDescent="0.25"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spans="27:46" x14ac:dyDescent="0.25"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spans="27:46" x14ac:dyDescent="0.25"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spans="27:46" x14ac:dyDescent="0.25"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spans="27:46" x14ac:dyDescent="0.25"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spans="27:46" x14ac:dyDescent="0.25"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spans="27:46" x14ac:dyDescent="0.25"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spans="27:46" x14ac:dyDescent="0.25"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spans="27:46" x14ac:dyDescent="0.25"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spans="27:46" x14ac:dyDescent="0.25"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spans="27:46" x14ac:dyDescent="0.25"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spans="27:46" x14ac:dyDescent="0.25"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spans="27:46" x14ac:dyDescent="0.25"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spans="27:46" x14ac:dyDescent="0.25"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spans="27:46" x14ac:dyDescent="0.25"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spans="27:46" x14ac:dyDescent="0.25"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spans="27:46" x14ac:dyDescent="0.25"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spans="27:46" x14ac:dyDescent="0.25"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spans="27:46" x14ac:dyDescent="0.25"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spans="27:46" x14ac:dyDescent="0.25"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spans="27:46" x14ac:dyDescent="0.25"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spans="27:46" x14ac:dyDescent="0.25"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spans="27:46" x14ac:dyDescent="0.25"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spans="27:46" x14ac:dyDescent="0.25"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spans="27:46" x14ac:dyDescent="0.25"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spans="27:46" x14ac:dyDescent="0.25"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spans="27:46" x14ac:dyDescent="0.25"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27:46" x14ac:dyDescent="0.25"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27:46" x14ac:dyDescent="0.25"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27:46" x14ac:dyDescent="0.25"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27:46" x14ac:dyDescent="0.25"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27:46" x14ac:dyDescent="0.25"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spans="27:46" x14ac:dyDescent="0.25"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27:46" x14ac:dyDescent="0.25"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27:46" x14ac:dyDescent="0.25"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27:46" x14ac:dyDescent="0.25"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27:46" x14ac:dyDescent="0.25"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spans="27:46" x14ac:dyDescent="0.25"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spans="27:46" x14ac:dyDescent="0.25"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spans="27:46" x14ac:dyDescent="0.25"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spans="27:46" x14ac:dyDescent="0.25"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spans="27:46" x14ac:dyDescent="0.25"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spans="27:46" x14ac:dyDescent="0.25"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spans="27:46" x14ac:dyDescent="0.25"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spans="27:46" x14ac:dyDescent="0.25"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spans="27:46" x14ac:dyDescent="0.25"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spans="27:46" x14ac:dyDescent="0.25"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spans="27:46" x14ac:dyDescent="0.25"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spans="27:46" x14ac:dyDescent="0.25"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spans="27:46" x14ac:dyDescent="0.25"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spans="27:46" x14ac:dyDescent="0.25"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spans="27:46" x14ac:dyDescent="0.25"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spans="27:46" x14ac:dyDescent="0.25"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spans="27:46" x14ac:dyDescent="0.25"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spans="27:46" x14ac:dyDescent="0.25"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spans="27:46" x14ac:dyDescent="0.25"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spans="27:46" x14ac:dyDescent="0.25"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spans="27:46" x14ac:dyDescent="0.25"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spans="27:46" x14ac:dyDescent="0.25"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spans="27:46" x14ac:dyDescent="0.25"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27:46" x14ac:dyDescent="0.25"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27:46" x14ac:dyDescent="0.25"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27:46" x14ac:dyDescent="0.25"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27:46" x14ac:dyDescent="0.25"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27:46" x14ac:dyDescent="0.25"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spans="27:46" x14ac:dyDescent="0.25"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spans="27:46" x14ac:dyDescent="0.25"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spans="27:46" x14ac:dyDescent="0.25"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spans="27:46" x14ac:dyDescent="0.25"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spans="27:46" x14ac:dyDescent="0.25"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spans="27:46" x14ac:dyDescent="0.25"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spans="27:46" x14ac:dyDescent="0.25"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spans="27:46" x14ac:dyDescent="0.25"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spans="27:46" x14ac:dyDescent="0.25"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spans="27:46" x14ac:dyDescent="0.25"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spans="27:46" x14ac:dyDescent="0.25"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spans="27:46" x14ac:dyDescent="0.25"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spans="27:46" x14ac:dyDescent="0.25"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spans="27:46" x14ac:dyDescent="0.25"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spans="27:46" x14ac:dyDescent="0.25"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spans="27:46" x14ac:dyDescent="0.25"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spans="27:46" x14ac:dyDescent="0.25"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spans="27:46" x14ac:dyDescent="0.25"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spans="27:46" x14ac:dyDescent="0.25"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spans="27:46" x14ac:dyDescent="0.25"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spans="27:46" x14ac:dyDescent="0.25"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spans="27:46" x14ac:dyDescent="0.25"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spans="27:46" x14ac:dyDescent="0.25"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spans="27:46" x14ac:dyDescent="0.25"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spans="27:46" x14ac:dyDescent="0.25"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spans="27:46" x14ac:dyDescent="0.25"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spans="27:46" x14ac:dyDescent="0.25"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spans="27:46" x14ac:dyDescent="0.25"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spans="27:46" x14ac:dyDescent="0.25"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spans="27:46" x14ac:dyDescent="0.25"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spans="27:46" x14ac:dyDescent="0.25"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spans="27:46" x14ac:dyDescent="0.25"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spans="27:46" x14ac:dyDescent="0.25"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spans="27:46" x14ac:dyDescent="0.25"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spans="27:46" x14ac:dyDescent="0.25"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spans="27:46" x14ac:dyDescent="0.25"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spans="27:46" x14ac:dyDescent="0.25"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spans="27:46" x14ac:dyDescent="0.25"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spans="27:46" x14ac:dyDescent="0.25"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spans="27:46" x14ac:dyDescent="0.25"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spans="27:46" x14ac:dyDescent="0.25"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spans="27:46" x14ac:dyDescent="0.25"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spans="27:46" x14ac:dyDescent="0.25"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spans="27:46" x14ac:dyDescent="0.25"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spans="27:46" x14ac:dyDescent="0.25"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spans="27:46" x14ac:dyDescent="0.25"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spans="27:46" x14ac:dyDescent="0.25"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spans="27:46" x14ac:dyDescent="0.25"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spans="27:46" x14ac:dyDescent="0.25"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spans="27:46" x14ac:dyDescent="0.25"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spans="27:46" x14ac:dyDescent="0.25"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spans="27:46" x14ac:dyDescent="0.25"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spans="27:46" x14ac:dyDescent="0.25"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spans="27:46" x14ac:dyDescent="0.25"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spans="27:46" x14ac:dyDescent="0.25"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spans="27:46" x14ac:dyDescent="0.25"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spans="27:46" x14ac:dyDescent="0.25"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spans="27:46" x14ac:dyDescent="0.25"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spans="27:46" x14ac:dyDescent="0.25"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spans="27:46" x14ac:dyDescent="0.25"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spans="27:46" x14ac:dyDescent="0.25"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spans="27:46" x14ac:dyDescent="0.25"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spans="27:46" x14ac:dyDescent="0.25"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spans="27:46" x14ac:dyDescent="0.25"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spans="27:46" x14ac:dyDescent="0.25"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spans="27:46" x14ac:dyDescent="0.25"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spans="27:46" x14ac:dyDescent="0.25"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spans="27:46" x14ac:dyDescent="0.25"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spans="27:46" x14ac:dyDescent="0.25"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spans="27:46" x14ac:dyDescent="0.25"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spans="27:46" x14ac:dyDescent="0.25"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spans="27:46" x14ac:dyDescent="0.25"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spans="27:46" x14ac:dyDescent="0.25"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spans="27:46" x14ac:dyDescent="0.25"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spans="27:46" x14ac:dyDescent="0.25"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spans="27:46" x14ac:dyDescent="0.25"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spans="27:46" x14ac:dyDescent="0.25"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spans="27:46" x14ac:dyDescent="0.25"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spans="27:46" x14ac:dyDescent="0.25"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spans="27:46" x14ac:dyDescent="0.25"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spans="27:46" x14ac:dyDescent="0.25"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spans="27:46" x14ac:dyDescent="0.25"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spans="27:46" x14ac:dyDescent="0.25"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spans="27:46" x14ac:dyDescent="0.25"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27:46" x14ac:dyDescent="0.25"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27:46" x14ac:dyDescent="0.25"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27:46" x14ac:dyDescent="0.25"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27:46" x14ac:dyDescent="0.25"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27:46" x14ac:dyDescent="0.25"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27:46" x14ac:dyDescent="0.25"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27:46" x14ac:dyDescent="0.25"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27:46" x14ac:dyDescent="0.25"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27:46" x14ac:dyDescent="0.25"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27:46" x14ac:dyDescent="0.25"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27:46" x14ac:dyDescent="0.25"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spans="27:46" x14ac:dyDescent="0.25"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spans="27:46" x14ac:dyDescent="0.25"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27:46" x14ac:dyDescent="0.25"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27:46" x14ac:dyDescent="0.25"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27:46" x14ac:dyDescent="0.25"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27:46" x14ac:dyDescent="0.25"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spans="27:46" x14ac:dyDescent="0.25"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spans="27:46" x14ac:dyDescent="0.25"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spans="27:46" x14ac:dyDescent="0.25"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spans="27:46" x14ac:dyDescent="0.25"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spans="27:46" x14ac:dyDescent="0.25"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spans="27:46" x14ac:dyDescent="0.25"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spans="27:46" x14ac:dyDescent="0.25"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spans="27:46" x14ac:dyDescent="0.25"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spans="27:46" x14ac:dyDescent="0.25"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spans="27:46" x14ac:dyDescent="0.25"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spans="27:46" x14ac:dyDescent="0.25"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spans="27:46" x14ac:dyDescent="0.25"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spans="27:46" x14ac:dyDescent="0.25"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spans="27:46" x14ac:dyDescent="0.25"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spans="27:46" x14ac:dyDescent="0.25"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spans="27:46" x14ac:dyDescent="0.25"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spans="27:46" x14ac:dyDescent="0.25"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spans="27:46" x14ac:dyDescent="0.25"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spans="27:46" x14ac:dyDescent="0.25"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spans="27:46" x14ac:dyDescent="0.25"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spans="27:46" x14ac:dyDescent="0.25"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spans="27:46" x14ac:dyDescent="0.25"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spans="27:46" x14ac:dyDescent="0.25"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spans="27:46" x14ac:dyDescent="0.25"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spans="27:46" x14ac:dyDescent="0.25"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spans="27:46" x14ac:dyDescent="0.25"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spans="27:46" x14ac:dyDescent="0.25"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spans="27:46" x14ac:dyDescent="0.25"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spans="27:46" x14ac:dyDescent="0.25"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spans="27:46" x14ac:dyDescent="0.25"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spans="27:46" x14ac:dyDescent="0.25"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spans="27:46" x14ac:dyDescent="0.25"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spans="27:46" x14ac:dyDescent="0.25"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spans="27:46" x14ac:dyDescent="0.25"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  <row r="1001" spans="27:46" x14ac:dyDescent="0.25"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  <row r="1002" spans="27:46" x14ac:dyDescent="0.25"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</row>
    <row r="1003" spans="27:46" x14ac:dyDescent="0.25"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</row>
    <row r="1004" spans="27:46" x14ac:dyDescent="0.25"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</row>
    <row r="1005" spans="27:46" x14ac:dyDescent="0.25"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</row>
    <row r="1006" spans="27:46" x14ac:dyDescent="0.25"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</row>
    <row r="1007" spans="27:46" x14ac:dyDescent="0.25"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</row>
    <row r="1008" spans="27:46" x14ac:dyDescent="0.25"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</row>
    <row r="1009" spans="27:46" x14ac:dyDescent="0.25"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</row>
    <row r="1010" spans="27:46" x14ac:dyDescent="0.25"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</row>
    <row r="1011" spans="27:46" x14ac:dyDescent="0.25"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</row>
    <row r="1012" spans="27:46" x14ac:dyDescent="0.25"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</row>
    <row r="1013" spans="27:46" x14ac:dyDescent="0.25"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</row>
    <row r="1014" spans="27:46" x14ac:dyDescent="0.25"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</row>
    <row r="1015" spans="27:46" x14ac:dyDescent="0.25"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</row>
    <row r="1016" spans="27:46" x14ac:dyDescent="0.25"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</row>
    <row r="1017" spans="27:46" x14ac:dyDescent="0.25"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</row>
    <row r="1018" spans="27:46" x14ac:dyDescent="0.25"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</row>
    <row r="1019" spans="27:46" x14ac:dyDescent="0.25"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</row>
    <row r="1020" spans="27:46" x14ac:dyDescent="0.25"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</row>
    <row r="1021" spans="27:46" x14ac:dyDescent="0.25"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</row>
    <row r="1022" spans="27:46" x14ac:dyDescent="0.25"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</row>
    <row r="1023" spans="27:46" x14ac:dyDescent="0.25"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</row>
    <row r="1024" spans="27:46" x14ac:dyDescent="0.25"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</row>
    <row r="1025" spans="27:46" x14ac:dyDescent="0.25"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</row>
    <row r="1026" spans="27:46" x14ac:dyDescent="0.25"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</row>
    <row r="1027" spans="27:46" x14ac:dyDescent="0.25"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</row>
    <row r="1028" spans="27:46" x14ac:dyDescent="0.25"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</row>
    <row r="1029" spans="27:46" x14ac:dyDescent="0.25"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</row>
    <row r="1030" spans="27:46" x14ac:dyDescent="0.25"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</row>
    <row r="1031" spans="27:46" x14ac:dyDescent="0.25"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</row>
    <row r="1032" spans="27:46" x14ac:dyDescent="0.25"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</row>
    <row r="1033" spans="27:46" x14ac:dyDescent="0.25"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</row>
    <row r="1034" spans="27:46" x14ac:dyDescent="0.25"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</row>
    <row r="1035" spans="27:46" x14ac:dyDescent="0.25"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</row>
    <row r="1036" spans="27:46" x14ac:dyDescent="0.25"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</row>
    <row r="1037" spans="27:46" x14ac:dyDescent="0.25"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</row>
    <row r="1038" spans="27:46" x14ac:dyDescent="0.25"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</row>
    <row r="1039" spans="27:46" x14ac:dyDescent="0.25"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</row>
    <row r="1040" spans="27:46" x14ac:dyDescent="0.25"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</row>
    <row r="1041" spans="27:46" x14ac:dyDescent="0.25"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</row>
    <row r="1042" spans="27:46" x14ac:dyDescent="0.25"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</row>
    <row r="1043" spans="27:46" x14ac:dyDescent="0.25"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</row>
    <row r="1044" spans="27:46" x14ac:dyDescent="0.25"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</row>
    <row r="1045" spans="27:46" x14ac:dyDescent="0.25"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</row>
    <row r="1046" spans="27:46" x14ac:dyDescent="0.25"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</row>
    <row r="1047" spans="27:46" x14ac:dyDescent="0.25"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</row>
    <row r="1048" spans="27:46" x14ac:dyDescent="0.25"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</row>
    <row r="1049" spans="27:46" x14ac:dyDescent="0.25"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</row>
    <row r="1050" spans="27:46" x14ac:dyDescent="0.25"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</row>
    <row r="1051" spans="27:46" x14ac:dyDescent="0.25"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</row>
    <row r="1052" spans="27:46" x14ac:dyDescent="0.25"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</row>
    <row r="1053" spans="27:46" x14ac:dyDescent="0.25"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</row>
    <row r="1054" spans="27:46" x14ac:dyDescent="0.25"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</row>
    <row r="1055" spans="27:46" x14ac:dyDescent="0.25"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</row>
    <row r="1056" spans="27:46" x14ac:dyDescent="0.25"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</row>
    <row r="1057" spans="27:46" x14ac:dyDescent="0.25"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</row>
    <row r="1058" spans="27:46" x14ac:dyDescent="0.25"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</row>
    <row r="1059" spans="27:46" x14ac:dyDescent="0.25"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</row>
    <row r="1060" spans="27:46" x14ac:dyDescent="0.25"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</row>
    <row r="1061" spans="27:46" x14ac:dyDescent="0.25"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</row>
    <row r="1062" spans="27:46" x14ac:dyDescent="0.25"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</row>
    <row r="1063" spans="27:46" x14ac:dyDescent="0.25"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</row>
    <row r="1064" spans="27:46" x14ac:dyDescent="0.25"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</row>
    <row r="1065" spans="27:46" x14ac:dyDescent="0.25"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</row>
    <row r="1066" spans="27:46" x14ac:dyDescent="0.25"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</row>
    <row r="1067" spans="27:46" x14ac:dyDescent="0.25"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</row>
    <row r="1068" spans="27:46" x14ac:dyDescent="0.25"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</row>
    <row r="1069" spans="27:46" x14ac:dyDescent="0.25"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</row>
    <row r="1070" spans="27:46" x14ac:dyDescent="0.25"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</row>
    <row r="1071" spans="27:46" x14ac:dyDescent="0.25"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</row>
    <row r="1072" spans="27:46" x14ac:dyDescent="0.25"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</row>
    <row r="1073" spans="27:46" x14ac:dyDescent="0.25"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</row>
    <row r="1074" spans="27:46" x14ac:dyDescent="0.25"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</row>
    <row r="1075" spans="27:46" x14ac:dyDescent="0.25"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</row>
    <row r="1076" spans="27:46" x14ac:dyDescent="0.25"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</row>
    <row r="1077" spans="27:46" x14ac:dyDescent="0.25"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</row>
    <row r="1078" spans="27:46" x14ac:dyDescent="0.25"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</row>
    <row r="1079" spans="27:46" x14ac:dyDescent="0.25"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</row>
    <row r="1080" spans="27:46" x14ac:dyDescent="0.25"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</row>
    <row r="1081" spans="27:46" x14ac:dyDescent="0.25"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</row>
    <row r="1082" spans="27:46" x14ac:dyDescent="0.25"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</row>
    <row r="1083" spans="27:46" x14ac:dyDescent="0.25"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</row>
    <row r="1084" spans="27:46" x14ac:dyDescent="0.25"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</row>
    <row r="1085" spans="27:46" x14ac:dyDescent="0.25"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</row>
    <row r="1086" spans="27:46" x14ac:dyDescent="0.25"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</row>
    <row r="1087" spans="27:46" x14ac:dyDescent="0.25"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</row>
    <row r="1088" spans="27:46" x14ac:dyDescent="0.25"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</row>
    <row r="1089" spans="27:46" x14ac:dyDescent="0.25"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</row>
    <row r="1090" spans="27:46" x14ac:dyDescent="0.25"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</row>
    <row r="1091" spans="27:46" x14ac:dyDescent="0.25"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</row>
    <row r="1092" spans="27:46" x14ac:dyDescent="0.25"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</row>
    <row r="1093" spans="27:46" x14ac:dyDescent="0.25"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</row>
    <row r="1094" spans="27:46" x14ac:dyDescent="0.25"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</row>
    <row r="1095" spans="27:46" x14ac:dyDescent="0.25"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</row>
    <row r="1096" spans="27:46" x14ac:dyDescent="0.25"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</row>
    <row r="1097" spans="27:46" x14ac:dyDescent="0.25"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</row>
    <row r="1098" spans="27:46" x14ac:dyDescent="0.25"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</row>
    <row r="1099" spans="27:46" x14ac:dyDescent="0.25"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</row>
    <row r="1100" spans="27:46" x14ac:dyDescent="0.25"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</row>
    <row r="1101" spans="27:46" x14ac:dyDescent="0.25"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</row>
    <row r="1102" spans="27:46" x14ac:dyDescent="0.25"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</row>
    <row r="1103" spans="27:46" x14ac:dyDescent="0.25"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</row>
    <row r="1104" spans="27:46" x14ac:dyDescent="0.25"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</row>
    <row r="1105" spans="27:46" x14ac:dyDescent="0.25"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</row>
    <row r="1106" spans="27:46" x14ac:dyDescent="0.25"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</row>
    <row r="1107" spans="27:46" x14ac:dyDescent="0.25"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</row>
    <row r="1108" spans="27:46" x14ac:dyDescent="0.25"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</row>
    <row r="1109" spans="27:46" x14ac:dyDescent="0.25"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</row>
    <row r="1110" spans="27:46" x14ac:dyDescent="0.25"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</row>
    <row r="1111" spans="27:46" x14ac:dyDescent="0.25"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</row>
    <row r="1112" spans="27:46" x14ac:dyDescent="0.25"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</row>
    <row r="1113" spans="27:46" x14ac:dyDescent="0.25"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</row>
    <row r="1114" spans="27:46" x14ac:dyDescent="0.25"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</row>
    <row r="1115" spans="27:46" x14ac:dyDescent="0.25"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</row>
    <row r="1116" spans="27:46" x14ac:dyDescent="0.25"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</row>
    <row r="1117" spans="27:46" x14ac:dyDescent="0.25"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</row>
    <row r="1118" spans="27:46" x14ac:dyDescent="0.25"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</row>
    <row r="1119" spans="27:46" x14ac:dyDescent="0.25"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</row>
    <row r="1120" spans="27:46" x14ac:dyDescent="0.25"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</row>
    <row r="1121" spans="27:46" x14ac:dyDescent="0.25"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</row>
    <row r="1122" spans="27:46" x14ac:dyDescent="0.25"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</row>
    <row r="1123" spans="27:46" x14ac:dyDescent="0.25"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</row>
    <row r="1124" spans="27:46" x14ac:dyDescent="0.25"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</row>
    <row r="1125" spans="27:46" x14ac:dyDescent="0.25"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</row>
    <row r="1126" spans="27:46" x14ac:dyDescent="0.25"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</row>
    <row r="1127" spans="27:46" x14ac:dyDescent="0.25"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</row>
    <row r="1128" spans="27:46" x14ac:dyDescent="0.25"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</row>
    <row r="1129" spans="27:46" x14ac:dyDescent="0.25"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</row>
    <row r="1130" spans="27:46" x14ac:dyDescent="0.25"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</row>
    <row r="1131" spans="27:46" x14ac:dyDescent="0.25"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</row>
    <row r="1132" spans="27:46" x14ac:dyDescent="0.25"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</row>
    <row r="1133" spans="27:46" x14ac:dyDescent="0.25"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</row>
    <row r="1134" spans="27:46" x14ac:dyDescent="0.25"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</row>
    <row r="1135" spans="27:46" x14ac:dyDescent="0.25"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</row>
    <row r="1136" spans="27:46" x14ac:dyDescent="0.25"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</row>
    <row r="1137" spans="27:46" x14ac:dyDescent="0.25"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</row>
    <row r="1138" spans="27:46" x14ac:dyDescent="0.25"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</row>
    <row r="1139" spans="27:46" x14ac:dyDescent="0.25"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</row>
    <row r="1140" spans="27:46" x14ac:dyDescent="0.25"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</row>
    <row r="1141" spans="27:46" x14ac:dyDescent="0.25"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</row>
    <row r="1142" spans="27:46" x14ac:dyDescent="0.25"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</row>
    <row r="1143" spans="27:46" x14ac:dyDescent="0.25"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</row>
    <row r="1144" spans="27:46" x14ac:dyDescent="0.25"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</row>
    <row r="1145" spans="27:46" x14ac:dyDescent="0.25"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</row>
    <row r="1146" spans="27:46" x14ac:dyDescent="0.25"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</row>
    <row r="1147" spans="27:46" x14ac:dyDescent="0.25"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</row>
    <row r="1148" spans="27:46" x14ac:dyDescent="0.25"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</row>
    <row r="1149" spans="27:46" x14ac:dyDescent="0.25"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</row>
    <row r="1150" spans="27:46" x14ac:dyDescent="0.25"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</row>
    <row r="1151" spans="27:46" x14ac:dyDescent="0.25"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</row>
    <row r="1152" spans="27:46" x14ac:dyDescent="0.25"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</row>
    <row r="1153" spans="27:46" x14ac:dyDescent="0.25"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</row>
    <row r="1154" spans="27:46" x14ac:dyDescent="0.25"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</row>
    <row r="1155" spans="27:46" x14ac:dyDescent="0.25"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</row>
    <row r="1156" spans="27:46" x14ac:dyDescent="0.25"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</row>
    <row r="1157" spans="27:46" x14ac:dyDescent="0.25"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</row>
    <row r="1158" spans="27:46" x14ac:dyDescent="0.25"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</row>
    <row r="1159" spans="27:46" x14ac:dyDescent="0.25"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</row>
    <row r="1160" spans="27:46" x14ac:dyDescent="0.25"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</row>
    <row r="1161" spans="27:46" x14ac:dyDescent="0.25"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</row>
    <row r="1162" spans="27:46" x14ac:dyDescent="0.25"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</row>
    <row r="1163" spans="27:46" x14ac:dyDescent="0.25"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</row>
    <row r="1164" spans="27:46" x14ac:dyDescent="0.25"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</row>
    <row r="1165" spans="27:46" x14ac:dyDescent="0.25"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</row>
    <row r="1166" spans="27:46" x14ac:dyDescent="0.25"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</row>
    <row r="1167" spans="27:46" x14ac:dyDescent="0.25"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</row>
    <row r="1168" spans="27:46" x14ac:dyDescent="0.25"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</row>
    <row r="1169" spans="27:46" x14ac:dyDescent="0.25"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</row>
    <row r="1170" spans="27:46" x14ac:dyDescent="0.25"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</row>
    <row r="1171" spans="27:46" x14ac:dyDescent="0.25"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</row>
    <row r="1172" spans="27:46" x14ac:dyDescent="0.25"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</row>
    <row r="1173" spans="27:46" x14ac:dyDescent="0.25"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</row>
    <row r="1174" spans="27:46" x14ac:dyDescent="0.25"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</row>
    <row r="1175" spans="27:46" x14ac:dyDescent="0.25"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</row>
    <row r="1176" spans="27:46" x14ac:dyDescent="0.25"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</row>
    <row r="1177" spans="27:46" x14ac:dyDescent="0.25"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</row>
    <row r="1178" spans="27:46" x14ac:dyDescent="0.25"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</row>
    <row r="1179" spans="27:46" x14ac:dyDescent="0.25"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</row>
    <row r="1180" spans="27:46" x14ac:dyDescent="0.25"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</row>
    <row r="1181" spans="27:46" x14ac:dyDescent="0.25"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</row>
    <row r="1182" spans="27:46" x14ac:dyDescent="0.25"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</row>
    <row r="1183" spans="27:46" x14ac:dyDescent="0.25"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</row>
    <row r="1184" spans="27:46" x14ac:dyDescent="0.25"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</row>
    <row r="1185" spans="27:46" x14ac:dyDescent="0.25"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</row>
    <row r="1186" spans="27:46" x14ac:dyDescent="0.25"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</row>
    <row r="1187" spans="27:46" x14ac:dyDescent="0.25"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</row>
    <row r="1188" spans="27:46" x14ac:dyDescent="0.25"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</row>
    <row r="1189" spans="27:46" x14ac:dyDescent="0.25"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</row>
    <row r="1190" spans="27:46" x14ac:dyDescent="0.25"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</row>
    <row r="1191" spans="27:46" x14ac:dyDescent="0.25"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</row>
    <row r="1192" spans="27:46" x14ac:dyDescent="0.25"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</row>
    <row r="1193" spans="27:46" x14ac:dyDescent="0.25"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</row>
    <row r="1194" spans="27:46" x14ac:dyDescent="0.25"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</row>
    <row r="1195" spans="27:46" x14ac:dyDescent="0.25"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</row>
    <row r="1196" spans="27:46" x14ac:dyDescent="0.25"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</row>
    <row r="1197" spans="27:46" x14ac:dyDescent="0.25"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</row>
    <row r="1198" spans="27:46" x14ac:dyDescent="0.25"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</row>
    <row r="1199" spans="27:46" x14ac:dyDescent="0.25"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</row>
    <row r="1200" spans="27:46" x14ac:dyDescent="0.25"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</row>
    <row r="1201" spans="27:46" x14ac:dyDescent="0.25"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</row>
    <row r="1202" spans="27:46" x14ac:dyDescent="0.25"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</row>
    <row r="1203" spans="27:46" x14ac:dyDescent="0.25"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</row>
    <row r="1204" spans="27:46" x14ac:dyDescent="0.25"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</row>
    <row r="1205" spans="27:46" x14ac:dyDescent="0.25"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</row>
    <row r="1206" spans="27:46" x14ac:dyDescent="0.25"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</row>
    <row r="1207" spans="27:46" x14ac:dyDescent="0.25"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</row>
    <row r="1208" spans="27:46" x14ac:dyDescent="0.25"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</row>
    <row r="1209" spans="27:46" x14ac:dyDescent="0.25"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</row>
    <row r="1210" spans="27:46" x14ac:dyDescent="0.25"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</row>
    <row r="1211" spans="27:46" x14ac:dyDescent="0.25"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</row>
    <row r="1212" spans="27:46" x14ac:dyDescent="0.25"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</row>
    <row r="1213" spans="27:46" x14ac:dyDescent="0.25"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</row>
    <row r="1214" spans="27:46" x14ac:dyDescent="0.25"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</row>
    <row r="1215" spans="27:46" x14ac:dyDescent="0.25"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</row>
    <row r="1216" spans="27:46" x14ac:dyDescent="0.25"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</row>
    <row r="1217" spans="27:46" x14ac:dyDescent="0.25"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</row>
    <row r="1218" spans="27:46" x14ac:dyDescent="0.25"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</row>
    <row r="1219" spans="27:46" x14ac:dyDescent="0.25"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</row>
    <row r="1220" spans="27:46" x14ac:dyDescent="0.25"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</row>
    <row r="1221" spans="27:46" x14ac:dyDescent="0.25"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</row>
    <row r="1222" spans="27:46" x14ac:dyDescent="0.25"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</row>
    <row r="1223" spans="27:46" x14ac:dyDescent="0.25"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</row>
    <row r="1224" spans="27:46" x14ac:dyDescent="0.25"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</row>
    <row r="1225" spans="27:46" x14ac:dyDescent="0.25"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</row>
    <row r="1226" spans="27:46" x14ac:dyDescent="0.25"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</row>
    <row r="1227" spans="27:46" x14ac:dyDescent="0.25"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</row>
    <row r="1228" spans="27:46" x14ac:dyDescent="0.25"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</row>
    <row r="1229" spans="27:46" x14ac:dyDescent="0.25"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</row>
    <row r="1230" spans="27:46" x14ac:dyDescent="0.25"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</row>
    <row r="1231" spans="27:46" x14ac:dyDescent="0.25"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</row>
    <row r="1232" spans="27:46" x14ac:dyDescent="0.25"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</row>
    <row r="1233" spans="27:46" x14ac:dyDescent="0.25"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</row>
    <row r="1234" spans="27:46" x14ac:dyDescent="0.25"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</row>
    <row r="1235" spans="27:46" x14ac:dyDescent="0.25"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</row>
    <row r="1236" spans="27:46" x14ac:dyDescent="0.25"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</row>
    <row r="1237" spans="27:46" x14ac:dyDescent="0.25"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</row>
    <row r="1238" spans="27:46" x14ac:dyDescent="0.25"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</row>
    <row r="1239" spans="27:46" x14ac:dyDescent="0.25"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</row>
    <row r="1240" spans="27:46" x14ac:dyDescent="0.25"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</row>
    <row r="1241" spans="27:46" x14ac:dyDescent="0.25"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</row>
    <row r="1242" spans="27:46" x14ac:dyDescent="0.25"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</row>
    <row r="1243" spans="27:46" x14ac:dyDescent="0.25"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</row>
    <row r="1244" spans="27:46" x14ac:dyDescent="0.25"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</row>
    <row r="1245" spans="27:46" x14ac:dyDescent="0.25"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</row>
    <row r="1246" spans="27:46" x14ac:dyDescent="0.25"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</row>
    <row r="1247" spans="27:46" x14ac:dyDescent="0.25"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</row>
    <row r="1248" spans="27:46" x14ac:dyDescent="0.25"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</row>
    <row r="1249" spans="27:46" x14ac:dyDescent="0.25"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</row>
    <row r="1250" spans="27:46" x14ac:dyDescent="0.25"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</row>
    <row r="1251" spans="27:46" x14ac:dyDescent="0.25"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</row>
    <row r="1252" spans="27:46" x14ac:dyDescent="0.25"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</row>
    <row r="1253" spans="27:46" x14ac:dyDescent="0.25"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</row>
    <row r="1254" spans="27:46" x14ac:dyDescent="0.25"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</row>
    <row r="1255" spans="27:46" x14ac:dyDescent="0.25"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</row>
    <row r="1256" spans="27:46" x14ac:dyDescent="0.25"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</row>
    <row r="1257" spans="27:46" x14ac:dyDescent="0.25"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</row>
    <row r="1258" spans="27:46" x14ac:dyDescent="0.25"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</row>
    <row r="1259" spans="27:46" x14ac:dyDescent="0.25"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</row>
    <row r="1260" spans="27:46" x14ac:dyDescent="0.25"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</row>
    <row r="1261" spans="27:46" x14ac:dyDescent="0.25"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</row>
    <row r="1262" spans="27:46" x14ac:dyDescent="0.25"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</row>
    <row r="1263" spans="27:46" x14ac:dyDescent="0.25"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</row>
    <row r="1264" spans="27:46" x14ac:dyDescent="0.25"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</row>
    <row r="1265" spans="27:46" x14ac:dyDescent="0.25"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</row>
    <row r="1266" spans="27:46" x14ac:dyDescent="0.25"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</row>
    <row r="1267" spans="27:46" x14ac:dyDescent="0.25"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</row>
    <row r="1268" spans="27:46" x14ac:dyDescent="0.25"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</row>
    <row r="1269" spans="27:46" x14ac:dyDescent="0.25"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</row>
    <row r="1270" spans="27:46" x14ac:dyDescent="0.25"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</row>
    <row r="1271" spans="27:46" x14ac:dyDescent="0.25"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</row>
    <row r="1272" spans="27:46" x14ac:dyDescent="0.25"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</row>
    <row r="1273" spans="27:46" x14ac:dyDescent="0.25"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</row>
    <row r="1274" spans="27:46" x14ac:dyDescent="0.25"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</row>
    <row r="1275" spans="27:46" x14ac:dyDescent="0.25"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</row>
    <row r="1276" spans="27:46" x14ac:dyDescent="0.25"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</row>
    <row r="1277" spans="27:46" x14ac:dyDescent="0.25"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</row>
    <row r="1278" spans="27:46" x14ac:dyDescent="0.25"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</row>
    <row r="1279" spans="27:46" x14ac:dyDescent="0.25"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</row>
    <row r="1280" spans="27:46" x14ac:dyDescent="0.25"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</row>
    <row r="1281" spans="27:46" x14ac:dyDescent="0.25"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</row>
    <row r="1282" spans="27:46" x14ac:dyDescent="0.25"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</row>
    <row r="1283" spans="27:46" x14ac:dyDescent="0.25"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</row>
    <row r="1284" spans="27:46" x14ac:dyDescent="0.25"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</row>
    <row r="1285" spans="27:46" x14ac:dyDescent="0.25"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</row>
    <row r="1286" spans="27:46" x14ac:dyDescent="0.25"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</row>
    <row r="1287" spans="27:46" x14ac:dyDescent="0.25"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</row>
    <row r="1288" spans="27:46" x14ac:dyDescent="0.25"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</row>
    <row r="1289" spans="27:46" x14ac:dyDescent="0.25"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</row>
    <row r="1290" spans="27:46" x14ac:dyDescent="0.25"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</row>
    <row r="1291" spans="27:46" x14ac:dyDescent="0.25"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</row>
    <row r="1292" spans="27:46" x14ac:dyDescent="0.25"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</row>
    <row r="1293" spans="27:46" x14ac:dyDescent="0.25"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</row>
    <row r="1294" spans="27:46" x14ac:dyDescent="0.25"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</row>
    <row r="1295" spans="27:46" x14ac:dyDescent="0.25"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</row>
    <row r="1296" spans="27:46" x14ac:dyDescent="0.25"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</row>
    <row r="1297" spans="27:46" x14ac:dyDescent="0.25"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</row>
    <row r="1298" spans="27:46" x14ac:dyDescent="0.25"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</row>
    <row r="1299" spans="27:46" x14ac:dyDescent="0.25"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</row>
    <row r="1300" spans="27:46" x14ac:dyDescent="0.25"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</row>
    <row r="1301" spans="27:46" x14ac:dyDescent="0.25"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</row>
    <row r="1302" spans="27:46" x14ac:dyDescent="0.25"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</row>
    <row r="1303" spans="27:46" x14ac:dyDescent="0.25"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</row>
    <row r="1304" spans="27:46" x14ac:dyDescent="0.25"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</row>
    <row r="1305" spans="27:46" x14ac:dyDescent="0.25"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</row>
    <row r="1306" spans="27:46" x14ac:dyDescent="0.25"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</row>
    <row r="1307" spans="27:46" x14ac:dyDescent="0.25"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</row>
    <row r="1308" spans="27:46" x14ac:dyDescent="0.25"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</row>
    <row r="1309" spans="27:46" x14ac:dyDescent="0.25"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</row>
    <row r="1310" spans="27:46" x14ac:dyDescent="0.25"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</row>
    <row r="1311" spans="27:46" x14ac:dyDescent="0.25"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</row>
    <row r="1312" spans="27:46" x14ac:dyDescent="0.25"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</row>
    <row r="1313" spans="27:46" x14ac:dyDescent="0.25"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</row>
    <row r="1314" spans="27:46" x14ac:dyDescent="0.25"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</row>
    <row r="1315" spans="27:46" x14ac:dyDescent="0.25"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</row>
    <row r="1316" spans="27:46" x14ac:dyDescent="0.25"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</row>
    <row r="1317" spans="27:46" x14ac:dyDescent="0.25"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</row>
    <row r="1318" spans="27:46" x14ac:dyDescent="0.25"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</row>
    <row r="1319" spans="27:46" x14ac:dyDescent="0.25"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</row>
    <row r="1320" spans="27:46" x14ac:dyDescent="0.25"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</row>
    <row r="1321" spans="27:46" x14ac:dyDescent="0.25"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</row>
    <row r="1322" spans="27:46" x14ac:dyDescent="0.25"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</row>
    <row r="1323" spans="27:46" x14ac:dyDescent="0.25"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</row>
    <row r="1324" spans="27:46" x14ac:dyDescent="0.25"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</row>
    <row r="1325" spans="27:46" x14ac:dyDescent="0.25"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</row>
    <row r="1326" spans="27:46" x14ac:dyDescent="0.25"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</row>
    <row r="1327" spans="27:46" x14ac:dyDescent="0.25"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</row>
    <row r="1328" spans="27:46" x14ac:dyDescent="0.25"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</row>
    <row r="1329" spans="27:46" x14ac:dyDescent="0.25"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</row>
    <row r="1330" spans="27:46" x14ac:dyDescent="0.25"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</row>
    <row r="1331" spans="27:46" x14ac:dyDescent="0.25"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</row>
    <row r="1332" spans="27:46" x14ac:dyDescent="0.25"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</row>
    <row r="1333" spans="27:46" x14ac:dyDescent="0.25"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</row>
    <row r="1334" spans="27:46" x14ac:dyDescent="0.25"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</row>
    <row r="1335" spans="27:46" x14ac:dyDescent="0.25"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</row>
    <row r="1336" spans="27:46" x14ac:dyDescent="0.25"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</row>
    <row r="1337" spans="27:46" x14ac:dyDescent="0.25"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</row>
    <row r="1338" spans="27:46" x14ac:dyDescent="0.25"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</row>
    <row r="1339" spans="27:46" x14ac:dyDescent="0.25"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</row>
    <row r="1340" spans="27:46" x14ac:dyDescent="0.25"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</row>
    <row r="1341" spans="27:46" x14ac:dyDescent="0.25"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</row>
    <row r="1342" spans="27:46" x14ac:dyDescent="0.25"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</row>
    <row r="1343" spans="27:46" x14ac:dyDescent="0.25"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</row>
    <row r="1344" spans="27:46" x14ac:dyDescent="0.25"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</row>
    <row r="1345" spans="27:46" x14ac:dyDescent="0.25"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</row>
    <row r="1346" spans="27:46" x14ac:dyDescent="0.25"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</row>
    <row r="1347" spans="27:46" x14ac:dyDescent="0.25"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</row>
    <row r="1348" spans="27:46" x14ac:dyDescent="0.25"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</row>
    <row r="1349" spans="27:46" x14ac:dyDescent="0.25"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</row>
    <row r="1350" spans="27:46" x14ac:dyDescent="0.25"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</row>
    <row r="1351" spans="27:46" x14ac:dyDescent="0.25">
      <c r="AA1351" s="7"/>
      <c r="AB1351" s="7"/>
      <c r="AC1351" s="7"/>
      <c r="AD1351" s="7"/>
      <c r="AE1351" s="7"/>
      <c r="AF1351" s="7"/>
      <c r="AG1351" s="7"/>
      <c r="AH1351" s="7"/>
      <c r="AI1351" s="7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</row>
    <row r="1352" spans="27:46" x14ac:dyDescent="0.25"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</row>
    <row r="1353" spans="27:46" x14ac:dyDescent="0.25"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</row>
    <row r="1354" spans="27:46" x14ac:dyDescent="0.25"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</row>
    <row r="1355" spans="27:46" x14ac:dyDescent="0.25"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</row>
    <row r="1356" spans="27:46" x14ac:dyDescent="0.25"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</row>
    <row r="1357" spans="27:46" x14ac:dyDescent="0.25"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</row>
    <row r="1358" spans="27:46" x14ac:dyDescent="0.25"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</row>
    <row r="1359" spans="27:46" x14ac:dyDescent="0.25"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</row>
    <row r="1360" spans="27:46" x14ac:dyDescent="0.25"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</row>
    <row r="1361" spans="36:46" x14ac:dyDescent="0.25"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</row>
    <row r="1362" spans="36:46" x14ac:dyDescent="0.25"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</row>
    <row r="1363" spans="36:46" x14ac:dyDescent="0.25"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</row>
    <row r="1364" spans="36:46" x14ac:dyDescent="0.25"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</row>
    <row r="1365" spans="36:46" x14ac:dyDescent="0.25"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</row>
    <row r="1366" spans="36:46" x14ac:dyDescent="0.25"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</row>
    <row r="1367" spans="36:46" x14ac:dyDescent="0.25"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</row>
    <row r="1368" spans="36:46" x14ac:dyDescent="0.25"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</row>
    <row r="1369" spans="36:46" x14ac:dyDescent="0.25"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</row>
    <row r="1371" spans="36:46" x14ac:dyDescent="0.25">
      <c r="AJ1371" s="5" t="s">
        <v>9</v>
      </c>
      <c r="AK1371" s="5"/>
      <c r="AL1371" s="1"/>
      <c r="AM1371" s="1"/>
      <c r="AN1371" s="1"/>
      <c r="AO1371" s="1"/>
      <c r="AP1371" s="1"/>
      <c r="AQ1371" s="1"/>
      <c r="AR1371" s="1"/>
      <c r="AS1371" s="1"/>
      <c r="AT1371" s="1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E212-53D9-416D-96EF-CB07AE4DEB92}">
  <dimension ref="A1:B4"/>
  <sheetViews>
    <sheetView workbookViewId="0">
      <selection activeCell="B1" sqref="B1"/>
    </sheetView>
  </sheetViews>
  <sheetFormatPr defaultRowHeight="15" x14ac:dyDescent="0.25"/>
  <cols>
    <col min="1" max="1" width="16.140625" bestFit="1" customWidth="1"/>
    <col min="2" max="2" width="45.140625" bestFit="1" customWidth="1"/>
  </cols>
  <sheetData>
    <row r="1" spans="1:2" x14ac:dyDescent="0.25">
      <c r="A1" s="13" t="s">
        <v>18</v>
      </c>
      <c r="B1" t="str">
        <f ca="1">LEFT(CELL("filename"),FIND("[",CELL("filename"))-1)</f>
        <v>D:\Projects\Video\video-plex-mkclean-repair\</v>
      </c>
    </row>
    <row r="2" spans="1:2" x14ac:dyDescent="0.25">
      <c r="A2" t="s">
        <v>22</v>
      </c>
      <c r="B2" t="str">
        <f ca="1">MID(CELL("filename"),FIND("[",CELL("filename"))+1,FIND("]",CELL("filename"))-FIND("[",CELL("filename"))-1)</f>
        <v>Plex-mkclean-candidates.xlsx</v>
      </c>
    </row>
    <row r="4" spans="1:2" x14ac:dyDescent="0.25">
      <c r="A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518B76-ECA7-4FD0-95CE-201F78904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Plex-mkclean-candidates</vt:lpstr>
      <vt:lpstr>Config</vt:lpstr>
      <vt:lpstr>ScanStatus</vt:lpstr>
      <vt:lpstr>SizeBytes</vt:lpstr>
      <vt:lpstr>SizeGiB</vt:lpstr>
      <vt:lpstr>WorkbookFolder</vt:lpstr>
      <vt:lpstr>WorkbookName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 Jørgensen</dc:creator>
  <cp:lastModifiedBy>Bent Jørgensen</cp:lastModifiedBy>
  <dcterms:created xsi:type="dcterms:W3CDTF">2026-08-29T09:36:09Z</dcterms:created>
  <dcterms:modified xsi:type="dcterms:W3CDTF">2026-09-07T18:01:20Z</dcterms:modified>
</cp:coreProperties>
</file>